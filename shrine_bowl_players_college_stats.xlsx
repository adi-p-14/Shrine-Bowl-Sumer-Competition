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p\OneDrive\Documents\Shrine Bowl Analytics Competition\"/>
    </mc:Choice>
  </mc:AlternateContent>
  <xr:revisionPtr revIDLastSave="0" documentId="13_ncr:1_{C5B199FE-C5C6-4586-B1E2-D1DCAEA13E99}" xr6:coauthVersionLast="47" xr6:coauthVersionMax="47" xr10:uidLastSave="{00000000-0000-0000-0000-000000000000}"/>
  <bookViews>
    <workbookView xWindow="-96" yWindow="0" windowWidth="11712" windowHeight="13776" activeTab="1" xr2:uid="{D761A6F4-93D8-43FD-B3D3-B70A43F1D59E}"/>
  </bookViews>
  <sheets>
    <sheet name="Full Player List" sheetId="1" r:id="rId1"/>
    <sheet name="RB" sheetId="9" r:id="rId2"/>
    <sheet name="WR" sheetId="2" r:id="rId3"/>
    <sheet name="TE" sheetId="3" r:id="rId4"/>
    <sheet name="OL" sheetId="6" r:id="rId5"/>
    <sheet name="DT" sheetId="8" r:id="rId6"/>
    <sheet name="DE" sheetId="7" r:id="rId7"/>
    <sheet name="IB" sheetId="10" r:id="rId8"/>
    <sheet name="OB" sheetId="11" r:id="rId9"/>
    <sheet name="DC" sheetId="4" r:id="rId10"/>
    <sheet name="DS" sheetId="5" r:id="rId11"/>
  </sheets>
  <definedNames>
    <definedName name="_xlnm._FilterDatabase" localSheetId="9" hidden="1">DC!$A$1:$Z$22</definedName>
    <definedName name="_xlnm._FilterDatabase" localSheetId="0" hidden="1">'Full Player List'!$A$1:$AL$1737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9" l="1"/>
  <c r="K3" i="9"/>
  <c r="J3" i="9"/>
  <c r="I3" i="9"/>
  <c r="H3" i="9"/>
  <c r="G3" i="9"/>
  <c r="K7" i="9"/>
  <c r="L7" i="9"/>
  <c r="J7" i="9"/>
  <c r="I7" i="9"/>
  <c r="H7" i="9"/>
  <c r="G7" i="9"/>
  <c r="L6" i="9"/>
  <c r="K6" i="9"/>
  <c r="J6" i="9"/>
  <c r="I6" i="9"/>
  <c r="H6" i="9"/>
  <c r="G6" i="9"/>
  <c r="L5" i="9"/>
  <c r="K5" i="9"/>
  <c r="J5" i="9"/>
  <c r="I5" i="9"/>
  <c r="H5" i="9"/>
  <c r="G5" i="9"/>
  <c r="L4" i="9"/>
  <c r="K4" i="9"/>
  <c r="J4" i="9"/>
  <c r="I4" i="9"/>
  <c r="H4" i="9"/>
  <c r="G4" i="9"/>
  <c r="L2" i="9"/>
  <c r="K2" i="9"/>
  <c r="I2" i="9"/>
  <c r="H2" i="9"/>
  <c r="G2" i="9"/>
  <c r="X3" i="11"/>
  <c r="W3" i="11"/>
  <c r="V3" i="11"/>
  <c r="U3" i="11"/>
  <c r="T3" i="11"/>
  <c r="S3" i="11"/>
  <c r="X2" i="11"/>
  <c r="W2" i="11"/>
  <c r="V2" i="11"/>
  <c r="U2" i="11"/>
  <c r="T2" i="11"/>
  <c r="S2" i="11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L19" i="10"/>
  <c r="K19" i="10"/>
  <c r="J19" i="10"/>
  <c r="I19" i="10"/>
  <c r="H19" i="10"/>
  <c r="G19" i="10"/>
  <c r="L18" i="10"/>
  <c r="K18" i="10"/>
  <c r="J18" i="10"/>
  <c r="I18" i="10"/>
  <c r="H18" i="10"/>
  <c r="G18" i="10"/>
  <c r="L17" i="10"/>
  <c r="K17" i="10"/>
  <c r="J17" i="10"/>
  <c r="I17" i="10"/>
  <c r="H17" i="10"/>
  <c r="G17" i="10"/>
  <c r="L16" i="10"/>
  <c r="K16" i="10"/>
  <c r="J16" i="10"/>
  <c r="I16" i="10"/>
  <c r="H16" i="10"/>
  <c r="G16" i="10"/>
  <c r="L15" i="10"/>
  <c r="K15" i="10"/>
  <c r="J15" i="10"/>
  <c r="I15" i="10"/>
  <c r="H15" i="10"/>
  <c r="G15" i="10"/>
  <c r="L14" i="10"/>
  <c r="K14" i="10"/>
  <c r="J14" i="10"/>
  <c r="I14" i="10"/>
  <c r="H14" i="10"/>
  <c r="G14" i="10"/>
  <c r="L13" i="10"/>
  <c r="K13" i="10"/>
  <c r="J13" i="10"/>
  <c r="I13" i="10"/>
  <c r="H13" i="10"/>
  <c r="G13" i="10"/>
  <c r="L12" i="10"/>
  <c r="K12" i="10"/>
  <c r="J12" i="10"/>
  <c r="I12" i="10"/>
  <c r="H12" i="10"/>
  <c r="G12" i="10"/>
  <c r="L11" i="10"/>
  <c r="K11" i="10"/>
  <c r="J11" i="10"/>
  <c r="I11" i="10"/>
  <c r="H11" i="10"/>
  <c r="G11" i="10"/>
  <c r="L10" i="10"/>
  <c r="K10" i="10"/>
  <c r="J10" i="10"/>
  <c r="I10" i="10"/>
  <c r="H10" i="10"/>
  <c r="G10" i="10"/>
  <c r="L9" i="10"/>
  <c r="K9" i="10"/>
  <c r="J9" i="10"/>
  <c r="I9" i="10"/>
  <c r="H9" i="10"/>
  <c r="G9" i="10"/>
  <c r="L8" i="10"/>
  <c r="K8" i="10"/>
  <c r="J8" i="10"/>
  <c r="I8" i="10"/>
  <c r="H8" i="10"/>
  <c r="G8" i="10"/>
  <c r="L7" i="10"/>
  <c r="K7" i="10"/>
  <c r="J7" i="10"/>
  <c r="I7" i="10"/>
  <c r="H7" i="10"/>
  <c r="G7" i="10"/>
  <c r="L6" i="10"/>
  <c r="K6" i="10"/>
  <c r="J6" i="10"/>
  <c r="I6" i="10"/>
  <c r="H6" i="10"/>
  <c r="G6" i="10"/>
  <c r="L5" i="10"/>
  <c r="K5" i="10"/>
  <c r="J5" i="10"/>
  <c r="I5" i="10"/>
  <c r="H5" i="10"/>
  <c r="G5" i="10"/>
  <c r="L4" i="10"/>
  <c r="K4" i="10"/>
  <c r="J4" i="10"/>
  <c r="I4" i="10"/>
  <c r="H4" i="10"/>
  <c r="G4" i="10"/>
  <c r="L3" i="10"/>
  <c r="K3" i="10"/>
  <c r="J3" i="10"/>
  <c r="I3" i="10"/>
  <c r="H3" i="10"/>
  <c r="G3" i="10"/>
  <c r="L2" i="10"/>
  <c r="K2" i="10"/>
  <c r="J2" i="10"/>
  <c r="I2" i="10"/>
  <c r="H2" i="10"/>
  <c r="G2" i="10"/>
  <c r="N22" i="8"/>
  <c r="M22" i="8"/>
  <c r="L22" i="8"/>
  <c r="K22" i="8"/>
  <c r="J22" i="8"/>
  <c r="I22" i="8"/>
  <c r="H22" i="8"/>
  <c r="G22" i="8"/>
  <c r="N21" i="8"/>
  <c r="M21" i="8"/>
  <c r="L21" i="8"/>
  <c r="K21" i="8"/>
  <c r="J21" i="8"/>
  <c r="I21" i="8"/>
  <c r="H21" i="8"/>
  <c r="G21" i="8"/>
  <c r="N20" i="8"/>
  <c r="M20" i="8"/>
  <c r="L20" i="8"/>
  <c r="K20" i="8"/>
  <c r="J20" i="8"/>
  <c r="I20" i="8"/>
  <c r="H20" i="8"/>
  <c r="G20" i="8"/>
  <c r="N19" i="8"/>
  <c r="M19" i="8"/>
  <c r="L19" i="8"/>
  <c r="K19" i="8"/>
  <c r="J19" i="8"/>
  <c r="I19" i="8"/>
  <c r="H19" i="8"/>
  <c r="G19" i="8"/>
  <c r="N18" i="8"/>
  <c r="M18" i="8"/>
  <c r="L18" i="8"/>
  <c r="K18" i="8"/>
  <c r="J18" i="8"/>
  <c r="I18" i="8"/>
  <c r="H18" i="8"/>
  <c r="G18" i="8"/>
  <c r="N17" i="8"/>
  <c r="M17" i="8"/>
  <c r="L17" i="8"/>
  <c r="K17" i="8"/>
  <c r="J17" i="8"/>
  <c r="I17" i="8"/>
  <c r="H17" i="8"/>
  <c r="G17" i="8"/>
  <c r="N16" i="8"/>
  <c r="M16" i="8"/>
  <c r="L16" i="8"/>
  <c r="K16" i="8"/>
  <c r="J16" i="8"/>
  <c r="I16" i="8"/>
  <c r="H16" i="8"/>
  <c r="G16" i="8"/>
  <c r="N15" i="8"/>
  <c r="M15" i="8"/>
  <c r="L15" i="8"/>
  <c r="K15" i="8"/>
  <c r="J15" i="8"/>
  <c r="I15" i="8"/>
  <c r="H15" i="8"/>
  <c r="G15" i="8"/>
  <c r="N14" i="8"/>
  <c r="M14" i="8"/>
  <c r="L14" i="8"/>
  <c r="K14" i="8"/>
  <c r="J14" i="8"/>
  <c r="I14" i="8"/>
  <c r="H14" i="8"/>
  <c r="G14" i="8"/>
  <c r="N13" i="8"/>
  <c r="M13" i="8"/>
  <c r="L13" i="8"/>
  <c r="K13" i="8"/>
  <c r="J13" i="8"/>
  <c r="I13" i="8"/>
  <c r="H13" i="8"/>
  <c r="G13" i="8"/>
  <c r="N12" i="8"/>
  <c r="M12" i="8"/>
  <c r="L12" i="8"/>
  <c r="K12" i="8"/>
  <c r="J12" i="8"/>
  <c r="I12" i="8"/>
  <c r="H12" i="8"/>
  <c r="G12" i="8"/>
  <c r="N11" i="8"/>
  <c r="M11" i="8"/>
  <c r="L11" i="8"/>
  <c r="K11" i="8"/>
  <c r="J11" i="8"/>
  <c r="I11" i="8"/>
  <c r="H11" i="8"/>
  <c r="G11" i="8"/>
  <c r="N10" i="8"/>
  <c r="M10" i="8"/>
  <c r="L10" i="8"/>
  <c r="K10" i="8"/>
  <c r="J10" i="8"/>
  <c r="I10" i="8"/>
  <c r="H10" i="8"/>
  <c r="G10" i="8"/>
  <c r="N9" i="8"/>
  <c r="M9" i="8"/>
  <c r="L9" i="8"/>
  <c r="K9" i="8"/>
  <c r="J9" i="8"/>
  <c r="I9" i="8"/>
  <c r="H9" i="8"/>
  <c r="G9" i="8"/>
  <c r="N8" i="8"/>
  <c r="M8" i="8"/>
  <c r="L8" i="8"/>
  <c r="K8" i="8"/>
  <c r="J8" i="8"/>
  <c r="I8" i="8"/>
  <c r="H8" i="8"/>
  <c r="G8" i="8"/>
  <c r="N7" i="8"/>
  <c r="M7" i="8"/>
  <c r="L7" i="8"/>
  <c r="K7" i="8"/>
  <c r="J7" i="8"/>
  <c r="I7" i="8"/>
  <c r="H7" i="8"/>
  <c r="G7" i="8"/>
  <c r="N6" i="8"/>
  <c r="M6" i="8"/>
  <c r="L6" i="8"/>
  <c r="K6" i="8"/>
  <c r="J6" i="8"/>
  <c r="I6" i="8"/>
  <c r="H6" i="8"/>
  <c r="G6" i="8"/>
  <c r="N5" i="8"/>
  <c r="M5" i="8"/>
  <c r="L5" i="8"/>
  <c r="K5" i="8"/>
  <c r="J5" i="8"/>
  <c r="I5" i="8"/>
  <c r="H5" i="8"/>
  <c r="G5" i="8"/>
  <c r="N4" i="8"/>
  <c r="M4" i="8"/>
  <c r="L4" i="8"/>
  <c r="K4" i="8"/>
  <c r="J4" i="8"/>
  <c r="I4" i="8"/>
  <c r="H4" i="8"/>
  <c r="G4" i="8"/>
  <c r="N3" i="8"/>
  <c r="M3" i="8"/>
  <c r="L3" i="8"/>
  <c r="K3" i="8"/>
  <c r="J3" i="8"/>
  <c r="I3" i="8"/>
  <c r="H3" i="8"/>
  <c r="G3" i="8"/>
  <c r="N2" i="8"/>
  <c r="M2" i="8"/>
  <c r="L2" i="8"/>
  <c r="K2" i="8"/>
  <c r="J2" i="8"/>
  <c r="I2" i="8"/>
  <c r="H2" i="8"/>
  <c r="N14" i="7"/>
  <c r="M14" i="7"/>
  <c r="L14" i="7"/>
  <c r="K14" i="7"/>
  <c r="J14" i="7"/>
  <c r="I14" i="7"/>
  <c r="H14" i="7"/>
  <c r="G14" i="7"/>
  <c r="N13" i="7"/>
  <c r="M13" i="7"/>
  <c r="L13" i="7"/>
  <c r="K13" i="7"/>
  <c r="J13" i="7"/>
  <c r="I13" i="7"/>
  <c r="H13" i="7"/>
  <c r="G13" i="7"/>
  <c r="N12" i="7"/>
  <c r="M12" i="7"/>
  <c r="L12" i="7"/>
  <c r="K12" i="7"/>
  <c r="J12" i="7"/>
  <c r="I12" i="7"/>
  <c r="H12" i="7"/>
  <c r="G12" i="7"/>
  <c r="N11" i="7"/>
  <c r="M11" i="7"/>
  <c r="L11" i="7"/>
  <c r="K11" i="7"/>
  <c r="J11" i="7"/>
  <c r="I11" i="7"/>
  <c r="H11" i="7"/>
  <c r="G11" i="7"/>
  <c r="N10" i="7"/>
  <c r="M10" i="7"/>
  <c r="L10" i="7"/>
  <c r="K10" i="7"/>
  <c r="J10" i="7"/>
  <c r="I10" i="7"/>
  <c r="H10" i="7"/>
  <c r="G10" i="7"/>
  <c r="N9" i="7"/>
  <c r="M9" i="7"/>
  <c r="L9" i="7"/>
  <c r="K9" i="7"/>
  <c r="J9" i="7"/>
  <c r="I9" i="7"/>
  <c r="H9" i="7"/>
  <c r="G9" i="7"/>
  <c r="N8" i="7"/>
  <c r="M8" i="7"/>
  <c r="L8" i="7"/>
  <c r="K8" i="7"/>
  <c r="J8" i="7"/>
  <c r="I8" i="7"/>
  <c r="H8" i="7"/>
  <c r="G8" i="7"/>
  <c r="N7" i="7"/>
  <c r="M7" i="7"/>
  <c r="L7" i="7"/>
  <c r="K7" i="7"/>
  <c r="J7" i="7"/>
  <c r="I7" i="7"/>
  <c r="H7" i="7"/>
  <c r="G7" i="7"/>
  <c r="N6" i="7"/>
  <c r="M6" i="7"/>
  <c r="L6" i="7"/>
  <c r="K6" i="7"/>
  <c r="J6" i="7"/>
  <c r="I6" i="7"/>
  <c r="H6" i="7"/>
  <c r="G6" i="7"/>
  <c r="N5" i="7"/>
  <c r="M5" i="7"/>
  <c r="L5" i="7"/>
  <c r="K5" i="7"/>
  <c r="J5" i="7"/>
  <c r="I5" i="7"/>
  <c r="H5" i="7"/>
  <c r="G5" i="7"/>
  <c r="N4" i="7"/>
  <c r="M4" i="7"/>
  <c r="L4" i="7"/>
  <c r="K4" i="7"/>
  <c r="J4" i="7"/>
  <c r="I4" i="7"/>
  <c r="H4" i="7"/>
  <c r="G4" i="7"/>
  <c r="N3" i="7"/>
  <c r="M3" i="7"/>
  <c r="L3" i="7"/>
  <c r="K3" i="7"/>
  <c r="J3" i="7"/>
  <c r="I3" i="7"/>
  <c r="H3" i="7"/>
  <c r="G3" i="7"/>
  <c r="N2" i="7"/>
  <c r="M2" i="7"/>
  <c r="L2" i="7"/>
  <c r="K2" i="7"/>
  <c r="J2" i="7"/>
  <c r="I2" i="7"/>
  <c r="H2" i="7"/>
  <c r="G2" i="7"/>
  <c r="G2" i="8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L12" i="3"/>
  <c r="K12" i="3"/>
  <c r="J12" i="3"/>
  <c r="I12" i="3"/>
  <c r="H12" i="3"/>
  <c r="G12" i="3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L11" i="3"/>
  <c r="K11" i="3"/>
  <c r="J11" i="3"/>
  <c r="I11" i="3"/>
  <c r="H11" i="3"/>
  <c r="G11" i="3"/>
  <c r="L10" i="3"/>
  <c r="K10" i="3"/>
  <c r="J10" i="3"/>
  <c r="I10" i="3"/>
  <c r="H10" i="3"/>
  <c r="G10" i="3"/>
  <c r="L9" i="3"/>
  <c r="K9" i="3"/>
  <c r="J9" i="3"/>
  <c r="I9" i="3"/>
  <c r="H9" i="3"/>
  <c r="G9" i="3"/>
  <c r="L8" i="3"/>
  <c r="K8" i="3"/>
  <c r="J8" i="3"/>
  <c r="I8" i="3"/>
  <c r="H8" i="3"/>
  <c r="G8" i="3"/>
  <c r="L7" i="3"/>
  <c r="K7" i="3"/>
  <c r="J7" i="3"/>
  <c r="I7" i="3"/>
  <c r="H7" i="3"/>
  <c r="G7" i="3"/>
  <c r="L6" i="3"/>
  <c r="K6" i="3"/>
  <c r="J6" i="3"/>
  <c r="I6" i="3"/>
  <c r="H6" i="3"/>
  <c r="G6" i="3"/>
  <c r="L5" i="3"/>
  <c r="K5" i="3"/>
  <c r="J5" i="3"/>
  <c r="I5" i="3"/>
  <c r="H5" i="3"/>
  <c r="G5" i="3"/>
  <c r="L4" i="3"/>
  <c r="K4" i="3"/>
  <c r="J4" i="3"/>
  <c r="I4" i="3"/>
  <c r="H4" i="3"/>
  <c r="G4" i="3"/>
  <c r="L3" i="3"/>
  <c r="K3" i="3"/>
  <c r="J3" i="3"/>
  <c r="I3" i="3"/>
  <c r="H3" i="3"/>
  <c r="G3" i="3"/>
  <c r="L2" i="3"/>
  <c r="K2" i="3"/>
  <c r="J2" i="3"/>
  <c r="I2" i="3"/>
  <c r="H2" i="3"/>
  <c r="G2" i="3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AA2" i="4"/>
  <c r="Z2" i="4"/>
  <c r="Y2" i="4"/>
  <c r="X2" i="4"/>
  <c r="W2" i="4"/>
  <c r="V2" i="4"/>
  <c r="U2" i="4"/>
  <c r="T2" i="4"/>
  <c r="S2" i="4"/>
  <c r="R2" i="4"/>
  <c r="Q2" i="4"/>
  <c r="P2" i="4"/>
  <c r="N2" i="4"/>
  <c r="M2" i="4"/>
  <c r="L2" i="4"/>
  <c r="K2" i="4"/>
  <c r="J2" i="4"/>
  <c r="I2" i="4"/>
  <c r="H2" i="4"/>
  <c r="G2" i="4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AA2" i="5"/>
  <c r="Z2" i="5"/>
  <c r="Y2" i="5"/>
  <c r="X2" i="5"/>
  <c r="W2" i="5"/>
  <c r="V2" i="5"/>
  <c r="U2" i="5"/>
  <c r="T2" i="5"/>
  <c r="S2" i="5"/>
  <c r="R2" i="5"/>
  <c r="Q2" i="5"/>
  <c r="P2" i="5"/>
  <c r="N2" i="5"/>
  <c r="M2" i="5"/>
  <c r="L2" i="5"/>
  <c r="K2" i="5"/>
  <c r="J2" i="5"/>
  <c r="I2" i="5"/>
  <c r="H2" i="5"/>
  <c r="G2" i="5"/>
  <c r="O2" i="5"/>
  <c r="O2" i="4"/>
</calcChain>
</file>

<file path=xl/sharedStrings.xml><?xml version="1.0" encoding="utf-8"?>
<sst xmlns="http://schemas.openxmlformats.org/spreadsheetml/2006/main" count="7558" uniqueCount="863">
  <si>
    <t>college_gsis_id</t>
  </si>
  <si>
    <t>position</t>
  </si>
  <si>
    <t>player_name</t>
  </si>
  <si>
    <t>season</t>
  </si>
  <si>
    <t>team</t>
  </si>
  <si>
    <t>school_code</t>
  </si>
  <si>
    <t>passing_attempts</t>
  </si>
  <si>
    <t>passing_completions</t>
  </si>
  <si>
    <t>passing_yards</t>
  </si>
  <si>
    <t>passing_completion_percentage</t>
  </si>
  <si>
    <t>passing_touchdowns</t>
  </si>
  <si>
    <t>passing_interceptions</t>
  </si>
  <si>
    <t>rushing_attempts</t>
  </si>
  <si>
    <t>rushing_yards</t>
  </si>
  <si>
    <t>rushing_touchdowns</t>
  </si>
  <si>
    <t>receiving_receptions</t>
  </si>
  <si>
    <t>receiving_touchdowns</t>
  </si>
  <si>
    <t>receiving_yards</t>
  </si>
  <si>
    <t>defense_pass_breakups</t>
  </si>
  <si>
    <t>defense_qb_hurries</t>
  </si>
  <si>
    <t>defense_sacks</t>
  </si>
  <si>
    <t>defense_solo_tackles</t>
  </si>
  <si>
    <t>defense_total_tackles</t>
  </si>
  <si>
    <t>defense_tackles_for_loss</t>
  </si>
  <si>
    <t>defense_interceptions</t>
  </si>
  <si>
    <t>defense_touchdowns</t>
  </si>
  <si>
    <t>kickreturns_avg</t>
  </si>
  <si>
    <t>kickreturns_long</t>
  </si>
  <si>
    <t>kickreturns_no</t>
  </si>
  <si>
    <t>kickreturns_touchdowns</t>
  </si>
  <si>
    <t>kickreturns_yards</t>
  </si>
  <si>
    <t>puntreturns_avg</t>
  </si>
  <si>
    <t>puntreturns_long</t>
  </si>
  <si>
    <t>puntreturns_no</t>
  </si>
  <si>
    <t>puntreturns_td</t>
  </si>
  <si>
    <t>puntreturns_yds</t>
  </si>
  <si>
    <t>total_fumbles</t>
  </si>
  <si>
    <t>total_fumbles_lost</t>
  </si>
  <si>
    <t>DT</t>
  </si>
  <si>
    <t>Garrett Marino</t>
  </si>
  <si>
    <t>UAB</t>
  </si>
  <si>
    <t>ALBI</t>
  </si>
  <si>
    <t>DS</t>
  </si>
  <si>
    <t>Austin Lee</t>
  </si>
  <si>
    <t>BYU</t>
  </si>
  <si>
    <t>UTBY</t>
  </si>
  <si>
    <t>WR</t>
  </si>
  <si>
    <t>Nick Westbrook</t>
  </si>
  <si>
    <t>Indiana</t>
  </si>
  <si>
    <t>INUN</t>
  </si>
  <si>
    <t>DC</t>
  </si>
  <si>
    <t>Chris Williamson</t>
  </si>
  <si>
    <t>Minnesota</t>
  </si>
  <si>
    <t>MNUN</t>
  </si>
  <si>
    <t>QB</t>
  </si>
  <si>
    <t>Kelly Bryant</t>
  </si>
  <si>
    <t>Clemson</t>
  </si>
  <si>
    <t>SCCL</t>
  </si>
  <si>
    <t>Missouri</t>
  </si>
  <si>
    <t>MOUN</t>
  </si>
  <si>
    <t>Jeremiah Dinson</t>
  </si>
  <si>
    <t>Auburn</t>
  </si>
  <si>
    <t>ALAU</t>
  </si>
  <si>
    <t>Jace Whittaker</t>
  </si>
  <si>
    <t>Arizona</t>
  </si>
  <si>
    <t>AZUN</t>
  </si>
  <si>
    <t>John Reid</t>
  </si>
  <si>
    <t>Penn State</t>
  </si>
  <si>
    <t>PAST</t>
  </si>
  <si>
    <t>DE</t>
  </si>
  <si>
    <t>James Smith-Williams</t>
  </si>
  <si>
    <t>NC State</t>
  </si>
  <si>
    <t>NCST</t>
  </si>
  <si>
    <t>Rodney Clemons</t>
  </si>
  <si>
    <t>SMU</t>
  </si>
  <si>
    <t>TXMU</t>
  </si>
  <si>
    <t>RB</t>
  </si>
  <si>
    <t>LeVante Bellamy</t>
  </si>
  <si>
    <t>Western Michigan</t>
  </si>
  <si>
    <t>MIWE</t>
  </si>
  <si>
    <t>OB</t>
  </si>
  <si>
    <t>Casey Toohill</t>
  </si>
  <si>
    <t>Stanford</t>
  </si>
  <si>
    <t>CAST</t>
  </si>
  <si>
    <t>IB</t>
  </si>
  <si>
    <t>Dante Olson</t>
  </si>
  <si>
    <t>Montana</t>
  </si>
  <si>
    <t>MTUN</t>
  </si>
  <si>
    <t>Joe Gaziano</t>
  </si>
  <si>
    <t>Northwestern</t>
  </si>
  <si>
    <t>ILNW</t>
  </si>
  <si>
    <t>Ja'Marcus Bradley</t>
  </si>
  <si>
    <t>Louisiana</t>
  </si>
  <si>
    <t>LASW</t>
  </si>
  <si>
    <t>Jordan Glasgow</t>
  </si>
  <si>
    <t>Michigan</t>
  </si>
  <si>
    <t>MIUN</t>
  </si>
  <si>
    <t>Keith Washington</t>
  </si>
  <si>
    <t>West Virginia</t>
  </si>
  <si>
    <t>WVUN</t>
  </si>
  <si>
    <t>OG</t>
  </si>
  <si>
    <t>Calvin Throckmorton</t>
  </si>
  <si>
    <t>Oregon</t>
  </si>
  <si>
    <t>ORUN</t>
  </si>
  <si>
    <t>Michael Divinity Jr.</t>
  </si>
  <si>
    <t>LSU</t>
  </si>
  <si>
    <t>LAST</t>
  </si>
  <si>
    <t>Rashad Smith</t>
  </si>
  <si>
    <t>Florida Atlantic</t>
  </si>
  <si>
    <t>FLAT</t>
  </si>
  <si>
    <t>DeMarkus Acy</t>
  </si>
  <si>
    <t>John Houston Jr.</t>
  </si>
  <si>
    <t>USC</t>
  </si>
  <si>
    <t>CASC</t>
  </si>
  <si>
    <t>Johnathon Johnson</t>
  </si>
  <si>
    <t>Shyheim Carter</t>
  </si>
  <si>
    <t>Alabama</t>
  </si>
  <si>
    <t>ALUN</t>
  </si>
  <si>
    <t>Tommy Stevens</t>
  </si>
  <si>
    <t>Mississippi State</t>
  </si>
  <si>
    <t>MSST</t>
  </si>
  <si>
    <t>John Phillips</t>
  </si>
  <si>
    <t>Boston College</t>
  </si>
  <si>
    <t>MABC</t>
  </si>
  <si>
    <t>David Dowell</t>
  </si>
  <si>
    <t>Michigan State</t>
  </si>
  <si>
    <t>MIST</t>
  </si>
  <si>
    <t>Tyler Higby</t>
  </si>
  <si>
    <t>Raequan Williams</t>
  </si>
  <si>
    <t>Bryce Huff</t>
  </si>
  <si>
    <t>Memphis</t>
  </si>
  <si>
    <t>TNMS</t>
  </si>
  <si>
    <t>Mike Danna</t>
  </si>
  <si>
    <t>Central Michigan</t>
  </si>
  <si>
    <t>MICE</t>
  </si>
  <si>
    <t>Bravvion Roy</t>
  </si>
  <si>
    <t>Baylor</t>
  </si>
  <si>
    <t>TXBA</t>
  </si>
  <si>
    <t>Nevelle Clarke</t>
  </si>
  <si>
    <t>UCF</t>
  </si>
  <si>
    <t>FLCE</t>
  </si>
  <si>
    <t>Adrian Killins Jr.</t>
  </si>
  <si>
    <t>TE</t>
  </si>
  <si>
    <t>Giovanni Ricci</t>
  </si>
  <si>
    <t>McTelvin Agim</t>
  </si>
  <si>
    <t>Arkansas</t>
  </si>
  <si>
    <t>ARUN</t>
  </si>
  <si>
    <t>Josh Hammond</t>
  </si>
  <si>
    <t>Florida</t>
  </si>
  <si>
    <t>FLUN</t>
  </si>
  <si>
    <t>Freddie Swain</t>
  </si>
  <si>
    <t>Reggie Corbin</t>
  </si>
  <si>
    <t>Illinois</t>
  </si>
  <si>
    <t>ILUN</t>
  </si>
  <si>
    <t>Dele Harding</t>
  </si>
  <si>
    <t>Patrick Nelson</t>
  </si>
  <si>
    <t>Myles Dorn</t>
  </si>
  <si>
    <t>North Carolina</t>
  </si>
  <si>
    <t>NCUN</t>
  </si>
  <si>
    <t>Shaquille Quarterman</t>
  </si>
  <si>
    <t>Miami</t>
  </si>
  <si>
    <t>FLMI</t>
  </si>
  <si>
    <t>Michael Pinckney</t>
  </si>
  <si>
    <t>Mason Fine</t>
  </si>
  <si>
    <t>North Texas</t>
  </si>
  <si>
    <t>TXNO</t>
  </si>
  <si>
    <t>LaDarius Hamilton</t>
  </si>
  <si>
    <t>Stantley Thomas-Oliver III</t>
  </si>
  <si>
    <t>Florida International</t>
  </si>
  <si>
    <t>FLIN</t>
  </si>
  <si>
    <t>Eli Wolf</t>
  </si>
  <si>
    <t>Tennessee</t>
  </si>
  <si>
    <t>TNUN</t>
  </si>
  <si>
    <t>Georgia</t>
  </si>
  <si>
    <t>GAUN</t>
  </si>
  <si>
    <t>Tyler Huntley</t>
  </si>
  <si>
    <t>Utah</t>
  </si>
  <si>
    <t>UTUN</t>
  </si>
  <si>
    <t>OT</t>
  </si>
  <si>
    <t>Darrin Paulo</t>
  </si>
  <si>
    <t>Mitchell Wilcox</t>
  </si>
  <si>
    <t>South Florida</t>
  </si>
  <si>
    <t>FLSO</t>
  </si>
  <si>
    <t>Kendall Coleman</t>
  </si>
  <si>
    <t>Syracuse</t>
  </si>
  <si>
    <t>NYSY</t>
  </si>
  <si>
    <t>Elijah Riley</t>
  </si>
  <si>
    <t>Army</t>
  </si>
  <si>
    <t>NYWP</t>
  </si>
  <si>
    <t>Benny LeMay</t>
  </si>
  <si>
    <t>Charlotte</t>
  </si>
  <si>
    <t>NCCR</t>
  </si>
  <si>
    <t>Alex Highsmith</t>
  </si>
  <si>
    <t>Bryce Sterk</t>
  </si>
  <si>
    <t>Montana State</t>
  </si>
  <si>
    <t>MTST</t>
  </si>
  <si>
    <t>Khalil Davis</t>
  </si>
  <si>
    <t>Nebraska</t>
  </si>
  <si>
    <t>NEUN</t>
  </si>
  <si>
    <t>Carlos Davis</t>
  </si>
  <si>
    <t>Dezmon Patmon</t>
  </si>
  <si>
    <t>Washington State</t>
  </si>
  <si>
    <t>WAST</t>
  </si>
  <si>
    <t>Aaron Parker</t>
  </si>
  <si>
    <t>Rhode Island</t>
  </si>
  <si>
    <t>RIUN</t>
  </si>
  <si>
    <t>Joe Reed</t>
  </si>
  <si>
    <t>Virginia</t>
  </si>
  <si>
    <t>VAUN</t>
  </si>
  <si>
    <t>Jordan McCray</t>
  </si>
  <si>
    <t>South Alabama</t>
  </si>
  <si>
    <t>ALSO</t>
  </si>
  <si>
    <t>Oklahoma State</t>
  </si>
  <si>
    <t>OKST</t>
  </si>
  <si>
    <t>OC</t>
  </si>
  <si>
    <t>Darryl Williams</t>
  </si>
  <si>
    <t>Malcolm Perry</t>
  </si>
  <si>
    <t>Navy</t>
  </si>
  <si>
    <t>MDNA</t>
  </si>
  <si>
    <t>Cordel Iwuagwu</t>
  </si>
  <si>
    <t>TCU</t>
  </si>
  <si>
    <t>TXCU</t>
  </si>
  <si>
    <t>Kyahva Tezino</t>
  </si>
  <si>
    <t>San Diego State</t>
  </si>
  <si>
    <t>CASS</t>
  </si>
  <si>
    <t>Daishawn Dixon</t>
  </si>
  <si>
    <t>Diondre Overton</t>
  </si>
  <si>
    <t>Tavien Feaster</t>
  </si>
  <si>
    <t>South Carolina</t>
  </si>
  <si>
    <t>SCUN</t>
  </si>
  <si>
    <t>Kevin Dotson</t>
  </si>
  <si>
    <t>Chris Finke</t>
  </si>
  <si>
    <t>Notre Dame</t>
  </si>
  <si>
    <t>INND</t>
  </si>
  <si>
    <t>Tony Jones Jr.</t>
  </si>
  <si>
    <t>James Robinson</t>
  </si>
  <si>
    <t>Illinois State</t>
  </si>
  <si>
    <t>ILST</t>
  </si>
  <si>
    <t>Isaiah Wright</t>
  </si>
  <si>
    <t>Temple</t>
  </si>
  <si>
    <t>PATE</t>
  </si>
  <si>
    <t>Derrick Dillon</t>
  </si>
  <si>
    <t>Parnell Motley</t>
  </si>
  <si>
    <t>Oklahoma</t>
  </si>
  <si>
    <t>OKUN</t>
  </si>
  <si>
    <t>Evin Ksiezarczyk</t>
  </si>
  <si>
    <t>Buffalo</t>
  </si>
  <si>
    <t>NYBU</t>
  </si>
  <si>
    <t>Binjimen Victor</t>
  </si>
  <si>
    <t>Ohio State</t>
  </si>
  <si>
    <t>OHST</t>
  </si>
  <si>
    <t>Rico Dowdle</t>
  </si>
  <si>
    <t>Parker Houston</t>
  </si>
  <si>
    <t>Jon Runyan</t>
  </si>
  <si>
    <t>John Penisini</t>
  </si>
  <si>
    <t>BJ Thompson</t>
  </si>
  <si>
    <t>Josh Falo</t>
  </si>
  <si>
    <t>Bennett Williams</t>
  </si>
  <si>
    <t>Keith Gavin</t>
  </si>
  <si>
    <t>Florida State</t>
  </si>
  <si>
    <t>FLST</t>
  </si>
  <si>
    <t>Jordan Mims</t>
  </si>
  <si>
    <t>Fresno State</t>
  </si>
  <si>
    <t>CAFR</t>
  </si>
  <si>
    <t>Earl Bostick</t>
  </si>
  <si>
    <t>Kansas</t>
  </si>
  <si>
    <t>KSUN</t>
  </si>
  <si>
    <t>Jacob Kibodi</t>
  </si>
  <si>
    <t>Texas A&amp;M</t>
  </si>
  <si>
    <t>TXAM</t>
  </si>
  <si>
    <t>Kyle Soelle</t>
  </si>
  <si>
    <t>Arizona State</t>
  </si>
  <si>
    <t>AZST</t>
  </si>
  <si>
    <t>Andre Jones</t>
  </si>
  <si>
    <t>Yasir Durant</t>
  </si>
  <si>
    <t>Alex Palczewski</t>
  </si>
  <si>
    <t>Lavert Hill</t>
  </si>
  <si>
    <t>Travis Vokolek</t>
  </si>
  <si>
    <t>Rutgers</t>
  </si>
  <si>
    <t>NJRU</t>
  </si>
  <si>
    <t>Chandler Zavala</t>
  </si>
  <si>
    <t>Devonnsha Maxwell</t>
  </si>
  <si>
    <t>Chattanooga</t>
  </si>
  <si>
    <t>TNCH</t>
  </si>
  <si>
    <t>Princeton Fant</t>
  </si>
  <si>
    <t>Tyreque Jones</t>
  </si>
  <si>
    <t>Boise State</t>
  </si>
  <si>
    <t>IDBO</t>
  </si>
  <si>
    <t>Xazavian Valladay</t>
  </si>
  <si>
    <t>Wyoming</t>
  </si>
  <si>
    <t>WYUN</t>
  </si>
  <si>
    <t>Dallin Holker</t>
  </si>
  <si>
    <t>Colorado State</t>
  </si>
  <si>
    <t>COST</t>
  </si>
  <si>
    <t>James Morgan</t>
  </si>
  <si>
    <t>Bowling Green</t>
  </si>
  <si>
    <t>OHBG</t>
  </si>
  <si>
    <t>Daniel Barker</t>
  </si>
  <si>
    <t>Terell Smith</t>
  </si>
  <si>
    <t>Luqman Barcoo</t>
  </si>
  <si>
    <t>Christian Izien</t>
  </si>
  <si>
    <t>Tommy DeVito</t>
  </si>
  <si>
    <t>D'Shawn Jamison</t>
  </si>
  <si>
    <t>Texas</t>
  </si>
  <si>
    <t>TXUN</t>
  </si>
  <si>
    <t>Jaxson Kirkland</t>
  </si>
  <si>
    <t>Washington</t>
  </si>
  <si>
    <t>WAUN</t>
  </si>
  <si>
    <t>Dominick Wood-Anderson</t>
  </si>
  <si>
    <t>Mykal Walker</t>
  </si>
  <si>
    <t>Anthony Adams</t>
  </si>
  <si>
    <t>Portland State</t>
  </si>
  <si>
    <t>ORPS</t>
  </si>
  <si>
    <t>Kobie Turner</t>
  </si>
  <si>
    <t>Richmond</t>
  </si>
  <si>
    <t>VARI</t>
  </si>
  <si>
    <t>Wake Forest</t>
  </si>
  <si>
    <t>NCWF</t>
  </si>
  <si>
    <t>Ochaun Mathis</t>
  </si>
  <si>
    <t>Brevin Allen</t>
  </si>
  <si>
    <t>Campbell</t>
  </si>
  <si>
    <t>NCCM</t>
  </si>
  <si>
    <t>Christaphany Murray</t>
  </si>
  <si>
    <t>UCLA</t>
  </si>
  <si>
    <t>CALA</t>
  </si>
  <si>
    <t>Isaiah Moore</t>
  </si>
  <si>
    <t>Jake Bobo</t>
  </si>
  <si>
    <t>Duke</t>
  </si>
  <si>
    <t>NCDU</t>
  </si>
  <si>
    <t>Brenton Cox</t>
  </si>
  <si>
    <t>Chigozie Anusiem</t>
  </si>
  <si>
    <t>California</t>
  </si>
  <si>
    <t>CAUN</t>
  </si>
  <si>
    <t>Robert Beal Jr.</t>
  </si>
  <si>
    <t>Jelani Woods</t>
  </si>
  <si>
    <t>Jaylin Williams</t>
  </si>
  <si>
    <t>Amari Burney</t>
  </si>
  <si>
    <t>Thayer Thomas</t>
  </si>
  <si>
    <t>Desjaun Johnson</t>
  </si>
  <si>
    <t>Toledo</t>
  </si>
  <si>
    <t>OHTO</t>
  </si>
  <si>
    <t>Drake Stoops</t>
  </si>
  <si>
    <t>Trey Dean III</t>
  </si>
  <si>
    <t>Travis Dye</t>
  </si>
  <si>
    <t>Kahlef Hailassie</t>
  </si>
  <si>
    <t>Western Kentucky</t>
  </si>
  <si>
    <t>KYWE</t>
  </si>
  <si>
    <t>Charlie Thomas</t>
  </si>
  <si>
    <t>Georgia Tech</t>
  </si>
  <si>
    <t>GATC</t>
  </si>
  <si>
    <t>Fabien Lovett</t>
  </si>
  <si>
    <t>John Hightower</t>
  </si>
  <si>
    <t>Eyabi Anoma</t>
  </si>
  <si>
    <t>PJ Mustipher</t>
  </si>
  <si>
    <t>Chase Brice</t>
  </si>
  <si>
    <t>App State</t>
  </si>
  <si>
    <t>NCAP</t>
  </si>
  <si>
    <t>Jordan McFadden</t>
  </si>
  <si>
    <t>Xavier Thomas</t>
  </si>
  <si>
    <t>Jordan Howden</t>
  </si>
  <si>
    <t>Mohamed Ibrahim</t>
  </si>
  <si>
    <t>Tanner Morgan</t>
  </si>
  <si>
    <t>Deneric Prince</t>
  </si>
  <si>
    <t>Tulsa</t>
  </si>
  <si>
    <t>OKTU</t>
  </si>
  <si>
    <t>Terry Hampton</t>
  </si>
  <si>
    <t>Arkansas State</t>
  </si>
  <si>
    <t>ARST</t>
  </si>
  <si>
    <t>Kazmeir Allen</t>
  </si>
  <si>
    <t>Atonio Mafi</t>
  </si>
  <si>
    <t>Dorian Thompson-Robinson</t>
  </si>
  <si>
    <t>Jerron Cage</t>
  </si>
  <si>
    <t>Arquon Bush</t>
  </si>
  <si>
    <t>Cincinnati</t>
  </si>
  <si>
    <t>OHCI</t>
  </si>
  <si>
    <t>Dallas Gant</t>
  </si>
  <si>
    <t>Richard Jibunor</t>
  </si>
  <si>
    <t>Troy</t>
  </si>
  <si>
    <t>ALTR</t>
  </si>
  <si>
    <t>Taron Vincent</t>
  </si>
  <si>
    <t>FB</t>
  </si>
  <si>
    <t>Jack Colletto</t>
  </si>
  <si>
    <t>Oregon State</t>
  </si>
  <si>
    <t>ORST</t>
  </si>
  <si>
    <t>Jaiden Woodbey</t>
  </si>
  <si>
    <t>Dante Stills</t>
  </si>
  <si>
    <t>Jeremy Banks</t>
  </si>
  <si>
    <t>Connor Galvin</t>
  </si>
  <si>
    <t>Trajan Jeffcoat</t>
  </si>
  <si>
    <t>Sundiata Anderson</t>
  </si>
  <si>
    <t>Grambling</t>
  </si>
  <si>
    <t>LAGR</t>
  </si>
  <si>
    <t>Derek Parish</t>
  </si>
  <si>
    <t>Houston</t>
  </si>
  <si>
    <t>TXHO</t>
  </si>
  <si>
    <t>Nehemiah Shelton</t>
  </si>
  <si>
    <t>San JosÃ© State</t>
  </si>
  <si>
    <t>CASJ</t>
  </si>
  <si>
    <t>Tuli Letuligasenoa</t>
  </si>
  <si>
    <t>Antoine Green</t>
  </si>
  <si>
    <t>Michael Jefferson</t>
  </si>
  <si>
    <t>Alabama State</t>
  </si>
  <si>
    <t>ALST</t>
  </si>
  <si>
    <t>Solomon Byrd</t>
  </si>
  <si>
    <t>Ben VanSumeren</t>
  </si>
  <si>
    <t>Jordan Miller</t>
  </si>
  <si>
    <t>Kearis Jackson</t>
  </si>
  <si>
    <t>Nikko Remigio</t>
  </si>
  <si>
    <t>Charles McClelland</t>
  </si>
  <si>
    <t>Tavion Thomas</t>
  </si>
  <si>
    <t>Yasir Abdullah</t>
  </si>
  <si>
    <t>Louisville</t>
  </si>
  <si>
    <t>KYLO</t>
  </si>
  <si>
    <t>Austin Ajiake</t>
  </si>
  <si>
    <t>UNLV</t>
  </si>
  <si>
    <t>NVLV</t>
  </si>
  <si>
    <t>Justin Shorter</t>
  </si>
  <si>
    <t>Tyrone Tracy Jr.</t>
  </si>
  <si>
    <t>Iowa</t>
  </si>
  <si>
    <t>IAUN</t>
  </si>
  <si>
    <t>Purdue</t>
  </si>
  <si>
    <t>INPU</t>
  </si>
  <si>
    <t>Starling Thomas V</t>
  </si>
  <si>
    <t>Mason Kinsey</t>
  </si>
  <si>
    <t>The Citadel</t>
  </si>
  <si>
    <t>SCCI</t>
  </si>
  <si>
    <t>McNeese</t>
  </si>
  <si>
    <t>LAMC</t>
  </si>
  <si>
    <t>Brodric Martin</t>
  </si>
  <si>
    <t>North Alabama</t>
  </si>
  <si>
    <t>ALNO</t>
  </si>
  <si>
    <t>Mark Evans II</t>
  </si>
  <si>
    <t>Arkansas-Pine Bluff</t>
  </si>
  <si>
    <t>ARPB</t>
  </si>
  <si>
    <t>David White Jr.</t>
  </si>
  <si>
    <t>Western Carolina</t>
  </si>
  <si>
    <t>NCWE</t>
  </si>
  <si>
    <t>Christian Young</t>
  </si>
  <si>
    <t>Tim DeMorat</t>
  </si>
  <si>
    <t>Fordham</t>
  </si>
  <si>
    <t>NYFO</t>
  </si>
  <si>
    <t>Lance Boykin</t>
  </si>
  <si>
    <t>Old Dominion</t>
  </si>
  <si>
    <t>VAOD</t>
  </si>
  <si>
    <t>Coastal Carolina</t>
  </si>
  <si>
    <t>SCCC</t>
  </si>
  <si>
    <t>Joel Wilson</t>
  </si>
  <si>
    <t>Leonard Taylor</t>
  </si>
  <si>
    <t>Jadakis Bonds</t>
  </si>
  <si>
    <t>Hampton</t>
  </si>
  <si>
    <t>VAHI</t>
  </si>
  <si>
    <t>Isaiah Johnson</t>
  </si>
  <si>
    <t>Mason Brooks</t>
  </si>
  <si>
    <t>Khristian Boyd</t>
  </si>
  <si>
    <t>Northern Iowa</t>
  </si>
  <si>
    <t>IANO</t>
  </si>
  <si>
    <t>Julian Pearl</t>
  </si>
  <si>
    <t>Isaac Guerendo</t>
  </si>
  <si>
    <t>Wisconsin</t>
  </si>
  <si>
    <t>WIUN</t>
  </si>
  <si>
    <t>Truman Jones</t>
  </si>
  <si>
    <t>Harvard</t>
  </si>
  <si>
    <t>MAHA</t>
  </si>
  <si>
    <t>Titus Leo</t>
  </si>
  <si>
    <t>Wagner</t>
  </si>
  <si>
    <t>NYWA</t>
  </si>
  <si>
    <t>Jaxon Janke</t>
  </si>
  <si>
    <t>South Dakota State</t>
  </si>
  <si>
    <t>SDST</t>
  </si>
  <si>
    <t>Junior Fehoko</t>
  </si>
  <si>
    <t>McCallan Castles</t>
  </si>
  <si>
    <t>UC Davis</t>
  </si>
  <si>
    <t>CADA</t>
  </si>
  <si>
    <t>Shaka Heyward</t>
  </si>
  <si>
    <t>Beanie Bishop</t>
  </si>
  <si>
    <t>Elijah Klein</t>
  </si>
  <si>
    <t>UTEP</t>
  </si>
  <si>
    <t>TXEP</t>
  </si>
  <si>
    <t>X'Zauvea Gadlin</t>
  </si>
  <si>
    <t>Liberty</t>
  </si>
  <si>
    <t>VALB</t>
  </si>
  <si>
    <t>Blake Whiteheart</t>
  </si>
  <si>
    <t>Moro Ojomo</t>
  </si>
  <si>
    <t>Keondre Coburn</t>
  </si>
  <si>
    <t>Scott Matlock</t>
  </si>
  <si>
    <t>Blake Watson</t>
  </si>
  <si>
    <t>Luke Schoonmaker</t>
  </si>
  <si>
    <t>Jadon Janke</t>
  </si>
  <si>
    <t>Jacob Copeland</t>
  </si>
  <si>
    <t>Maryland</t>
  </si>
  <si>
    <t>MDUN</t>
  </si>
  <si>
    <t>Bryce Wheaton</t>
  </si>
  <si>
    <t>Deshaun Fenwick</t>
  </si>
  <si>
    <t>Habakkuk Baldonado</t>
  </si>
  <si>
    <t>Pittsburgh</t>
  </si>
  <si>
    <t>PAPT</t>
  </si>
  <si>
    <t>Mohamoud Diabate</t>
  </si>
  <si>
    <t>Darius Muasau</t>
  </si>
  <si>
    <t>Hawai'i</t>
  </si>
  <si>
    <t>HIUN</t>
  </si>
  <si>
    <t>Jordan Clark</t>
  </si>
  <si>
    <t>Jon Gaines</t>
  </si>
  <si>
    <t>Jadon Haselwood</t>
  </si>
  <si>
    <t>David Ugwoegbu</t>
  </si>
  <si>
    <t>Joseph Ngata</t>
  </si>
  <si>
    <t>Gervarrius Owens</t>
  </si>
  <si>
    <t>Demani Richardson</t>
  </si>
  <si>
    <t>Trezmen Marshall</t>
  </si>
  <si>
    <t>Zay Flowers</t>
  </si>
  <si>
    <t>Kedon Slovis</t>
  </si>
  <si>
    <t>Levelle Bailey</t>
  </si>
  <si>
    <t>Tyler Owens</t>
  </si>
  <si>
    <t>Texas Tech</t>
  </si>
  <si>
    <t>TXTC</t>
  </si>
  <si>
    <t>Jalen Graham</t>
  </si>
  <si>
    <t>Matt Jones</t>
  </si>
  <si>
    <t>Cornelius Johnson</t>
  </si>
  <si>
    <t>Garmon Randolph</t>
  </si>
  <si>
    <t>Renardo Green</t>
  </si>
  <si>
    <t>Ikenna Enechukwu</t>
  </si>
  <si>
    <t>Rice</t>
  </si>
  <si>
    <t>TXRI</t>
  </si>
  <si>
    <t>Jarrian Jones</t>
  </si>
  <si>
    <t>Walter Rouse</t>
  </si>
  <si>
    <t>Taulia Tagovailoa</t>
  </si>
  <si>
    <t>Joshua Cephus</t>
  </si>
  <si>
    <t>UTSA</t>
  </si>
  <si>
    <t>TXSN</t>
  </si>
  <si>
    <t>A.J. Finley</t>
  </si>
  <si>
    <t>Ole Miss</t>
  </si>
  <si>
    <t>MSUN</t>
  </si>
  <si>
    <t>Deantre Prince</t>
  </si>
  <si>
    <t>Jerrod Means</t>
  </si>
  <si>
    <t>Louisiana Tech</t>
  </si>
  <si>
    <t>LATC</t>
  </si>
  <si>
    <t>Gabriel Murphy</t>
  </si>
  <si>
    <t>Jowon Briggs</t>
  </si>
  <si>
    <t>Joshua Simon</t>
  </si>
  <si>
    <t>Jaylen Key</t>
  </si>
  <si>
    <t>Joseph Evans</t>
  </si>
  <si>
    <t>Drake Thomas</t>
  </si>
  <si>
    <t>Zach Heins</t>
  </si>
  <si>
    <t>Nick Nash</t>
  </si>
  <si>
    <t>Ricky Stromberg</t>
  </si>
  <si>
    <t>Josh Wallace</t>
  </si>
  <si>
    <t>Nic Jones</t>
  </si>
  <si>
    <t>Ball State</t>
  </si>
  <si>
    <t>INBS</t>
  </si>
  <si>
    <t>Kaitori Leveston</t>
  </si>
  <si>
    <t>Kansas State</t>
  </si>
  <si>
    <t>KSST</t>
  </si>
  <si>
    <t>Aaron Casey</t>
  </si>
  <si>
    <t>Jarius Monroe</t>
  </si>
  <si>
    <t>Nicholls</t>
  </si>
  <si>
    <t>LANI</t>
  </si>
  <si>
    <t>Tulane</t>
  </si>
  <si>
    <t>LATU</t>
  </si>
  <si>
    <t>Casey Washington</t>
  </si>
  <si>
    <t>Omar Brown</t>
  </si>
  <si>
    <t>Mason Fairchild</t>
  </si>
  <si>
    <t>Kenny Logan Jr.</t>
  </si>
  <si>
    <t>Kei'Trel Clark</t>
  </si>
  <si>
    <t>Demario Douglas</t>
  </si>
  <si>
    <t>Shaquan Davis</t>
  </si>
  <si>
    <t>South Carolina State</t>
  </si>
  <si>
    <t>SCST</t>
  </si>
  <si>
    <t>Tylan Grable</t>
  </si>
  <si>
    <t>Dadrion Taylor</t>
  </si>
  <si>
    <t>A.T. Perry</t>
  </si>
  <si>
    <t>Doug Nester</t>
  </si>
  <si>
    <t>Tre'Vius Hodges-Tomlinson</t>
  </si>
  <si>
    <t>Tahj Washington</t>
  </si>
  <si>
    <t>Steele Chambers</t>
  </si>
  <si>
    <t>Nathan Pickering</t>
  </si>
  <si>
    <t>Zion Logue</t>
  </si>
  <si>
    <t>Xavier Truss</t>
  </si>
  <si>
    <t>Mohamed Kamara</t>
  </si>
  <si>
    <t>Grayson Murphy</t>
  </si>
  <si>
    <t>M.J. Devonshire</t>
  </si>
  <si>
    <t>Kentucky</t>
  </si>
  <si>
    <t>KYUN</t>
  </si>
  <si>
    <t>Craig Woodson</t>
  </si>
  <si>
    <t>Carter Warren</t>
  </si>
  <si>
    <t>Jamree Kromah</t>
  </si>
  <si>
    <t>James Madison</t>
  </si>
  <si>
    <t>VAJM</t>
  </si>
  <si>
    <t>Khalid Duke</t>
  </si>
  <si>
    <t>Shilo Sanders</t>
  </si>
  <si>
    <t>Jackson State</t>
  </si>
  <si>
    <t>MSJA</t>
  </si>
  <si>
    <t>Colorado</t>
  </si>
  <si>
    <t>COUN</t>
  </si>
  <si>
    <t>Max Brosmer</t>
  </si>
  <si>
    <t>New Hampshire</t>
  </si>
  <si>
    <t>NHUN</t>
  </si>
  <si>
    <t>Myles Brooks</t>
  </si>
  <si>
    <t>Stephen F. Austin</t>
  </si>
  <si>
    <t>TXSF</t>
  </si>
  <si>
    <t>Alijah Huzzie</t>
  </si>
  <si>
    <t>East Tennessee State</t>
  </si>
  <si>
    <t>TNEA</t>
  </si>
  <si>
    <t>A.J. Woods</t>
  </si>
  <si>
    <t>Jose Ramirez</t>
  </si>
  <si>
    <t>Eastern Michigan</t>
  </si>
  <si>
    <t>MIEA</t>
  </si>
  <si>
    <t>Jared Harrison-Hunte</t>
  </si>
  <si>
    <t>Malik Washington</t>
  </si>
  <si>
    <t>Anthony Gould</t>
  </si>
  <si>
    <t>Jack Plummer</t>
  </si>
  <si>
    <t>Theo Wease</t>
  </si>
  <si>
    <t>Isas Waxter</t>
  </si>
  <si>
    <t>Villanova</t>
  </si>
  <si>
    <t>PAVI</t>
  </si>
  <si>
    <t>Jermari Harris</t>
  </si>
  <si>
    <t>Jason Johnson</t>
  </si>
  <si>
    <t>Eastern Illinois</t>
  </si>
  <si>
    <t>ILEA</t>
  </si>
  <si>
    <t>Josiah Ezirim</t>
  </si>
  <si>
    <t>Eastern Kentucky</t>
  </si>
  <si>
    <t>KYEA</t>
  </si>
  <si>
    <t>Austin Reed</t>
  </si>
  <si>
    <t>Isaiah Williams</t>
  </si>
  <si>
    <t>Jackson Mitchell</t>
  </si>
  <si>
    <t>UConn</t>
  </si>
  <si>
    <t>CTUN</t>
  </si>
  <si>
    <t>John Rhys Plumlee</t>
  </si>
  <si>
    <t>Devin Leary</t>
  </si>
  <si>
    <t>Andrew Coker</t>
  </si>
  <si>
    <t>Jaquan Sheppard</t>
  </si>
  <si>
    <t>Anfernee Orji</t>
  </si>
  <si>
    <t>Vanderbilt</t>
  </si>
  <si>
    <t>TNVA</t>
  </si>
  <si>
    <t>Juwan Johnson</t>
  </si>
  <si>
    <t>Daequan Hardy</t>
  </si>
  <si>
    <t>Aidan O'Connell</t>
  </si>
  <si>
    <t>Willis Patrick</t>
  </si>
  <si>
    <t>Mark Perry</t>
  </si>
  <si>
    <t>Daijahn Anthony</t>
  </si>
  <si>
    <t>Tyron Herring</t>
  </si>
  <si>
    <t>Dartmouth</t>
  </si>
  <si>
    <t>NHDA</t>
  </si>
  <si>
    <t>Delaware</t>
  </si>
  <si>
    <t>DEUN</t>
  </si>
  <si>
    <t>Kalen DeLoach</t>
  </si>
  <si>
    <t>Eric Gregory</t>
  </si>
  <si>
    <t>Isaac Rex</t>
  </si>
  <si>
    <t>Timothy McKay</t>
  </si>
  <si>
    <t>Mekhi Garner</t>
  </si>
  <si>
    <t>Isaiah Neyor</t>
  </si>
  <si>
    <t>Kain Medrano</t>
  </si>
  <si>
    <t>Easton Gibbs</t>
  </si>
  <si>
    <t>Frank Gore Jr.</t>
  </si>
  <si>
    <t>Southern Miss</t>
  </si>
  <si>
    <t>MSSO</t>
  </si>
  <si>
    <t>Eric Scott</t>
  </si>
  <si>
    <t>Dalton Cooper</t>
  </si>
  <si>
    <t>Texas State</t>
  </si>
  <si>
    <t>TXSW</t>
  </si>
  <si>
    <t>Myles Murphy</t>
  </si>
  <si>
    <t>Sam Brown</t>
  </si>
  <si>
    <t>R.J. Mickens</t>
  </si>
  <si>
    <t>Tahj Brooks</t>
  </si>
  <si>
    <t>Mitchell Tinsley</t>
  </si>
  <si>
    <t>Jordan Williams</t>
  </si>
  <si>
    <t>Jarrick Bernard</t>
  </si>
  <si>
    <t>Jabbar Muhammad</t>
  </si>
  <si>
    <t>Corey Thornton</t>
  </si>
  <si>
    <t>Cameron Horsley</t>
  </si>
  <si>
    <t>Christian Mahogany</t>
  </si>
  <si>
    <t>Deshawn Pace</t>
  </si>
  <si>
    <t>Elijah Roberts</t>
  </si>
  <si>
    <t>Tonka Hemingway</t>
  </si>
  <si>
    <t>Tyler Baron</t>
  </si>
  <si>
    <t>Jack Conley</t>
  </si>
  <si>
    <t>Warren Brinson</t>
  </si>
  <si>
    <t>Jalen Kimber</t>
  </si>
  <si>
    <t>Tramel Walthour</t>
  </si>
  <si>
    <t>Mike Smith</t>
  </si>
  <si>
    <t>Jaylon Carlies</t>
  </si>
  <si>
    <t>Rivaldo Fairweather</t>
  </si>
  <si>
    <t>J.J. Pegues</t>
  </si>
  <si>
    <t>Fadil Diggs</t>
  </si>
  <si>
    <t>Tyler Batty</t>
  </si>
  <si>
    <t>Sean Martin</t>
  </si>
  <si>
    <t>Josh Williams</t>
  </si>
  <si>
    <t>Lideatrick Griffin</t>
  </si>
  <si>
    <t>Tyrus Wheat</t>
  </si>
  <si>
    <t>Ra'Mello Dotson</t>
  </si>
  <si>
    <t>Evan Anderson</t>
  </si>
  <si>
    <t>LaJohntay Wester</t>
  </si>
  <si>
    <t>Will Sheppard</t>
  </si>
  <si>
    <t>Jabari Small</t>
  </si>
  <si>
    <t>Cam Miller</t>
  </si>
  <si>
    <t>North Dakota State</t>
  </si>
  <si>
    <t>NDST</t>
  </si>
  <si>
    <t>Marques Sigle</t>
  </si>
  <si>
    <t>Art Green</t>
  </si>
  <si>
    <t>Justin Rogers</t>
  </si>
  <si>
    <t>De'Rickey Wright</t>
  </si>
  <si>
    <t>Nazir Stackhouse</t>
  </si>
  <si>
    <t>Jackson Woodard</t>
  </si>
  <si>
    <t>Trevor Reid</t>
  </si>
  <si>
    <t>Jay Higgins</t>
  </si>
  <si>
    <t>Gus Hartwig</t>
  </si>
  <si>
    <t>Ryan Watts</t>
  </si>
  <si>
    <t>Curtis Jacobs</t>
  </si>
  <si>
    <t>Keandre Lambert</t>
  </si>
  <si>
    <t>Traeshon Holden</t>
  </si>
  <si>
    <t>Trente Jones</t>
  </si>
  <si>
    <t>Garnett Hollis Jr.</t>
  </si>
  <si>
    <t>Glendon Miller</t>
  </si>
  <si>
    <t>Tarheeb Still</t>
  </si>
  <si>
    <t>Bryce Cabledue</t>
  </si>
  <si>
    <t>Ricky White</t>
  </si>
  <si>
    <t>Tip Reiman</t>
  </si>
  <si>
    <t>Jakob Robinson</t>
  </si>
  <si>
    <t>Utah State</t>
  </si>
  <si>
    <t>UTST</t>
  </si>
  <si>
    <t>Antwuan Powell</t>
  </si>
  <si>
    <t>Virginia Tech</t>
  </si>
  <si>
    <t>VAPI</t>
  </si>
  <si>
    <t>Brandon Crenshaw-Dickson</t>
  </si>
  <si>
    <t>Dwight McGlothern</t>
  </si>
  <si>
    <t>Nohl Williams</t>
  </si>
  <si>
    <t>Luke Lachey</t>
  </si>
  <si>
    <t>Logan Lee</t>
  </si>
  <si>
    <t>Payton Thorne</t>
  </si>
  <si>
    <t>Ben Yurosek</t>
  </si>
  <si>
    <t>Joshua Gray</t>
  </si>
  <si>
    <t>CJ West</t>
  </si>
  <si>
    <t>Kent State</t>
  </si>
  <si>
    <t>OHKS</t>
  </si>
  <si>
    <t>Robert Longerbeam</t>
  </si>
  <si>
    <t>O'Donnell Fortune</t>
  </si>
  <si>
    <t>Caden Prieskorn</t>
  </si>
  <si>
    <t>Brady Cook</t>
  </si>
  <si>
    <t>Nash Hutmacher</t>
  </si>
  <si>
    <t>Antwane Wells Jr.</t>
  </si>
  <si>
    <t>Efton Chism III</t>
  </si>
  <si>
    <t>Eastern Washington</t>
  </si>
  <si>
    <t>WAEA</t>
  </si>
  <si>
    <t>Zy Alexander</t>
  </si>
  <si>
    <t>Dallas Daniels</t>
  </si>
  <si>
    <t>Western Illinois</t>
  </si>
  <si>
    <t>ILWE</t>
  </si>
  <si>
    <t>Myles Harden</t>
  </si>
  <si>
    <t>South Dakota</t>
  </si>
  <si>
    <t>SDVE</t>
  </si>
  <si>
    <t>Shedeur Sanders</t>
  </si>
  <si>
    <t>Marcus Harris</t>
  </si>
  <si>
    <t>Idaho</t>
  </si>
  <si>
    <t>IDUN</t>
  </si>
  <si>
    <t>Nash Jones</t>
  </si>
  <si>
    <t>Teddye Buchanan</t>
  </si>
  <si>
    <t>Chandler Martin</t>
  </si>
  <si>
    <t>Luke Newman</t>
  </si>
  <si>
    <t>Elijah Ponder</t>
  </si>
  <si>
    <t>Cal Poly</t>
  </si>
  <si>
    <t>CASL</t>
  </si>
  <si>
    <t>Jalen Coker</t>
  </si>
  <si>
    <t>Holy Cross</t>
  </si>
  <si>
    <t>MAHC</t>
  </si>
  <si>
    <t>Aaron Smith</t>
  </si>
  <si>
    <t>Ethan Garbers</t>
  </si>
  <si>
    <t>Jay Toia</t>
  </si>
  <si>
    <t>Kyle McCord</t>
  </si>
  <si>
    <t>Dominic Lovett</t>
  </si>
  <si>
    <t>Kilian Zierer</t>
  </si>
  <si>
    <t>Francisco Mauigoa</t>
  </si>
  <si>
    <t>Jimmy Horn Jr.</t>
  </si>
  <si>
    <t>Tejhaun Palmer</t>
  </si>
  <si>
    <t>Mychal Victor</t>
  </si>
  <si>
    <t>Konata Mumpfield</t>
  </si>
  <si>
    <t>Akron</t>
  </si>
  <si>
    <t>OHAK</t>
  </si>
  <si>
    <t>Kyonte Hamilton</t>
  </si>
  <si>
    <t>Jamon Dumas-Johnson</t>
  </si>
  <si>
    <t>Payton Page</t>
  </si>
  <si>
    <t>Ja'Corey Brooks</t>
  </si>
  <si>
    <t>Raheim Sanders</t>
  </si>
  <si>
    <t>Andrew Henry</t>
  </si>
  <si>
    <t>New Mexico</t>
  </si>
  <si>
    <t>NMUN</t>
  </si>
  <si>
    <t>Zeek Biggers</t>
  </si>
  <si>
    <t>Ro Torrence</t>
  </si>
  <si>
    <t>Alijah Clark</t>
  </si>
  <si>
    <t>Jackson Meeks</t>
  </si>
  <si>
    <t>Kaden Prather</t>
  </si>
  <si>
    <t>Ethan Downs</t>
  </si>
  <si>
    <t>Carson Steele</t>
  </si>
  <si>
    <t>Dont'E Thornton</t>
  </si>
  <si>
    <t>Drew Kendall</t>
  </si>
  <si>
    <t>Greg Penn III</t>
  </si>
  <si>
    <t>Montrell Johnson</t>
  </si>
  <si>
    <t>Oronde Gadsden II</t>
  </si>
  <si>
    <t>Jason Marshall Jr.</t>
  </si>
  <si>
    <t>Donovan McMillon</t>
  </si>
  <si>
    <t>Jaden Shirden</t>
  </si>
  <si>
    <t>Monmouth</t>
  </si>
  <si>
    <t>NJMO</t>
  </si>
  <si>
    <t>Mitchell Evans</t>
  </si>
  <si>
    <t>Jacobee Bryant</t>
  </si>
  <si>
    <t>Ethan Robinson</t>
  </si>
  <si>
    <t>Bucknell</t>
  </si>
  <si>
    <t>PABU</t>
  </si>
  <si>
    <t>Shamari Simmons</t>
  </si>
  <si>
    <t>Austin Peay</t>
  </si>
  <si>
    <t>TNAP</t>
  </si>
  <si>
    <t>Tre Stewart</t>
  </si>
  <si>
    <t>Jacksonville State</t>
  </si>
  <si>
    <t>ALJA</t>
  </si>
  <si>
    <t>Phil Mafah</t>
  </si>
  <si>
    <t>Maema Njongmeta</t>
  </si>
  <si>
    <t>Corey Kiner</t>
  </si>
  <si>
    <t>Carson Bruener</t>
  </si>
  <si>
    <t>Joe Huber</t>
  </si>
  <si>
    <t>Marcellas Dial</t>
  </si>
  <si>
    <t>Johnny Walker</t>
  </si>
  <si>
    <t>Tommy Akingbesote</t>
  </si>
  <si>
    <t>Chris Paul Jr.</t>
  </si>
  <si>
    <t>Trey Taylor</t>
  </si>
  <si>
    <t>Air Force</t>
  </si>
  <si>
    <t>COAF</t>
  </si>
  <si>
    <t>Gareth Warren</t>
  </si>
  <si>
    <t>Lindenwood</t>
  </si>
  <si>
    <t>MOLW</t>
  </si>
  <si>
    <t>Ahmed Hassanein</t>
  </si>
  <si>
    <t>Bam Martin-Scott</t>
  </si>
  <si>
    <t>Quandarrius Robinson</t>
  </si>
  <si>
    <t>Jacolby George</t>
  </si>
  <si>
    <t>Chaz Chambliss</t>
  </si>
  <si>
    <t>Ja'Quinden Jackson</t>
  </si>
  <si>
    <t>Money Parks</t>
  </si>
  <si>
    <t>Cam'Ron Silmon-Craig</t>
  </si>
  <si>
    <t>Jordan Phillips</t>
  </si>
  <si>
    <t>Kenneth Grant</t>
  </si>
  <si>
    <t>Jaydon Blue</t>
  </si>
  <si>
    <t>Blayne Taylor</t>
  </si>
  <si>
    <t>Abilene Christian</t>
  </si>
  <si>
    <t>TXAC</t>
  </si>
  <si>
    <t>Shavon Revel</t>
  </si>
  <si>
    <t>East Carolina</t>
  </si>
  <si>
    <t>NCEA</t>
  </si>
  <si>
    <t>Jalen Cropper</t>
  </si>
  <si>
    <t>Gunner Britton</t>
  </si>
  <si>
    <t>Zah Frazier</t>
  </si>
  <si>
    <t>Jacory Merritt</t>
  </si>
  <si>
    <t>Caedan Wallace</t>
  </si>
  <si>
    <t>C.J. Hanson</t>
  </si>
  <si>
    <t>Kyle Hergel</t>
  </si>
  <si>
    <t>Mason McCormick</t>
  </si>
  <si>
    <t>Matt Lee</t>
  </si>
  <si>
    <t>Hunter Nourzad</t>
  </si>
  <si>
    <t>Dylan McMahon</t>
  </si>
  <si>
    <t>Cam Grandy</t>
  </si>
  <si>
    <t>Missouri Western State</t>
  </si>
  <si>
    <t>SDVN</t>
  </si>
  <si>
    <t>Ronnie Rivers</t>
  </si>
  <si>
    <t>Pierre Strong</t>
  </si>
  <si>
    <t>Isiah Pacheco</t>
  </si>
  <si>
    <t>Trestan Ebner</t>
  </si>
  <si>
    <t>Keaontay Ingram</t>
  </si>
  <si>
    <t>Ty Chandler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</si>
</sst>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000000"/>
      <name val="Segoe UI"/>
      <family val="2"/>
    </font>
    <font>
      <i/>
      <sz val="7"/>
      <color rgb="FFB0B0B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" fontId="0" fillId="0" borderId="0" xfId="42" applyNumberFormat="1" applyFont="1"/>
    <xf numFmtId="0" fontId="18" fillId="33" borderId="10" xfId="0" applyFont="1" applyFill="1" applyBorder="1" applyAlignment="1">
      <alignment vertical="center"/>
    </xf>
    <xf numFmtId="0" fontId="19" fillId="33" borderId="10" xfId="0" applyFont="1" applyFill="1" applyBorder="1" applyAlignment="1">
      <alignment vertical="center"/>
    </xf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632A-FCD6-4D3F-86B1-BB8E53B42B09}">
  <dimension ref="A1:AO1737"/>
  <sheetViews>
    <sheetView zoomScale="74" workbookViewId="0">
      <selection activeCell="E293" sqref="E293"/>
    </sheetView>
  </sheetViews>
  <sheetFormatPr defaultRowHeight="14.4" x14ac:dyDescent="0.3"/>
  <cols>
    <col min="3" max="3" width="23.66406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41" x14ac:dyDescent="0.3">
      <c r="A2">
        <v>158332</v>
      </c>
      <c r="B2" t="s">
        <v>38</v>
      </c>
      <c r="C2" t="s">
        <v>39</v>
      </c>
      <c r="D2">
        <v>2017</v>
      </c>
      <c r="E2" t="s">
        <v>40</v>
      </c>
      <c r="F2" t="s">
        <v>41</v>
      </c>
      <c r="S2">
        <v>2</v>
      </c>
      <c r="T2">
        <v>3</v>
      </c>
      <c r="U2">
        <v>1</v>
      </c>
      <c r="V2">
        <v>18</v>
      </c>
      <c r="W2">
        <v>29</v>
      </c>
      <c r="X2">
        <v>7.5</v>
      </c>
      <c r="Z2">
        <v>0</v>
      </c>
      <c r="AK2">
        <v>0</v>
      </c>
      <c r="AL2">
        <v>0</v>
      </c>
    </row>
    <row r="3" spans="1:41" x14ac:dyDescent="0.3">
      <c r="A3">
        <v>158332</v>
      </c>
      <c r="B3" t="s">
        <v>38</v>
      </c>
      <c r="C3" t="s">
        <v>39</v>
      </c>
      <c r="D3">
        <v>2018</v>
      </c>
      <c r="E3" t="s">
        <v>40</v>
      </c>
      <c r="F3" t="s">
        <v>41</v>
      </c>
      <c r="M3">
        <v>3</v>
      </c>
      <c r="N3">
        <v>5</v>
      </c>
      <c r="O3">
        <v>0</v>
      </c>
      <c r="P3">
        <v>1</v>
      </c>
      <c r="Q3">
        <v>0</v>
      </c>
      <c r="R3">
        <v>-9</v>
      </c>
      <c r="S3">
        <v>0</v>
      </c>
      <c r="T3">
        <v>5</v>
      </c>
      <c r="U3">
        <v>3.5</v>
      </c>
      <c r="V3">
        <v>10</v>
      </c>
      <c r="W3">
        <v>19</v>
      </c>
      <c r="X3">
        <v>6.5</v>
      </c>
      <c r="Z3">
        <v>1</v>
      </c>
      <c r="AK3">
        <v>0</v>
      </c>
      <c r="AL3">
        <v>0</v>
      </c>
    </row>
    <row r="4" spans="1:41" x14ac:dyDescent="0.3">
      <c r="A4">
        <v>158332</v>
      </c>
      <c r="B4" t="s">
        <v>38</v>
      </c>
      <c r="C4" t="s">
        <v>39</v>
      </c>
      <c r="D4">
        <v>2019</v>
      </c>
      <c r="E4" t="s">
        <v>40</v>
      </c>
      <c r="F4" t="s">
        <v>41</v>
      </c>
      <c r="S4">
        <v>7</v>
      </c>
      <c r="T4">
        <v>4</v>
      </c>
      <c r="U4">
        <v>5.5</v>
      </c>
      <c r="V4">
        <v>29</v>
      </c>
      <c r="W4">
        <v>42</v>
      </c>
      <c r="X4">
        <v>13</v>
      </c>
      <c r="Z4">
        <v>0</v>
      </c>
      <c r="AK4">
        <v>0</v>
      </c>
      <c r="AL4">
        <v>0</v>
      </c>
    </row>
    <row r="5" spans="1:41" x14ac:dyDescent="0.3">
      <c r="A5">
        <v>172387</v>
      </c>
      <c r="B5" t="s">
        <v>42</v>
      </c>
      <c r="C5" t="s">
        <v>43</v>
      </c>
      <c r="D5">
        <v>2017</v>
      </c>
      <c r="E5" t="s">
        <v>44</v>
      </c>
      <c r="F5" t="s">
        <v>45</v>
      </c>
      <c r="S5">
        <v>0</v>
      </c>
      <c r="T5">
        <v>0</v>
      </c>
      <c r="U5">
        <v>0</v>
      </c>
      <c r="V5">
        <v>10</v>
      </c>
      <c r="W5">
        <v>15</v>
      </c>
      <c r="X5">
        <v>0</v>
      </c>
      <c r="Z5">
        <v>0</v>
      </c>
      <c r="AK5">
        <v>0</v>
      </c>
      <c r="AL5">
        <v>0</v>
      </c>
    </row>
    <row r="6" spans="1:41" x14ac:dyDescent="0.3">
      <c r="A6">
        <v>172387</v>
      </c>
      <c r="B6" t="s">
        <v>42</v>
      </c>
      <c r="C6" t="s">
        <v>43</v>
      </c>
      <c r="D6">
        <v>2018</v>
      </c>
      <c r="E6" t="s">
        <v>44</v>
      </c>
      <c r="F6" t="s">
        <v>45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S6">
        <v>1</v>
      </c>
      <c r="T6">
        <v>0</v>
      </c>
      <c r="U6">
        <v>0</v>
      </c>
      <c r="V6">
        <v>21</v>
      </c>
      <c r="W6">
        <v>34</v>
      </c>
      <c r="X6">
        <v>1</v>
      </c>
      <c r="Y6">
        <v>2</v>
      </c>
      <c r="Z6">
        <v>0</v>
      </c>
    </row>
    <row r="7" spans="1:41" ht="15" thickBot="1" x14ac:dyDescent="0.35">
      <c r="A7">
        <v>172387</v>
      </c>
      <c r="B7" t="s">
        <v>42</v>
      </c>
      <c r="C7" t="s">
        <v>43</v>
      </c>
      <c r="D7">
        <v>2019</v>
      </c>
      <c r="E7" t="s">
        <v>44</v>
      </c>
      <c r="F7" t="s">
        <v>45</v>
      </c>
      <c r="S7">
        <v>4</v>
      </c>
      <c r="T7">
        <v>0</v>
      </c>
      <c r="U7">
        <v>0</v>
      </c>
      <c r="V7">
        <v>36</v>
      </c>
      <c r="W7">
        <v>55</v>
      </c>
      <c r="X7">
        <v>2</v>
      </c>
      <c r="Y7">
        <v>1</v>
      </c>
      <c r="Z7">
        <v>1</v>
      </c>
      <c r="AO7" s="3"/>
    </row>
    <row r="8" spans="1:41" x14ac:dyDescent="0.3">
      <c r="A8">
        <v>172698</v>
      </c>
      <c r="B8" t="s">
        <v>46</v>
      </c>
      <c r="C8" t="s">
        <v>47</v>
      </c>
      <c r="D8">
        <v>2018</v>
      </c>
      <c r="E8" t="s">
        <v>48</v>
      </c>
      <c r="F8" t="s">
        <v>49</v>
      </c>
      <c r="P8">
        <v>42</v>
      </c>
      <c r="Q8">
        <v>4</v>
      </c>
      <c r="R8">
        <v>590</v>
      </c>
    </row>
    <row r="9" spans="1:41" x14ac:dyDescent="0.3">
      <c r="A9">
        <v>172698</v>
      </c>
      <c r="B9" t="s">
        <v>46</v>
      </c>
      <c r="C9" t="s">
        <v>47</v>
      </c>
      <c r="D9">
        <v>2019</v>
      </c>
      <c r="E9" t="s">
        <v>48</v>
      </c>
      <c r="F9" t="s">
        <v>49</v>
      </c>
      <c r="P9">
        <v>42</v>
      </c>
      <c r="Q9">
        <v>5</v>
      </c>
      <c r="R9">
        <v>572</v>
      </c>
    </row>
    <row r="10" spans="1:41" x14ac:dyDescent="0.3">
      <c r="A10">
        <v>172890</v>
      </c>
      <c r="B10" t="s">
        <v>50</v>
      </c>
      <c r="C10" t="s">
        <v>51</v>
      </c>
      <c r="D10">
        <v>2018</v>
      </c>
      <c r="E10" t="s">
        <v>52</v>
      </c>
      <c r="F10" t="s">
        <v>53</v>
      </c>
      <c r="S10">
        <v>4</v>
      </c>
      <c r="T10">
        <v>0</v>
      </c>
      <c r="U10">
        <v>1</v>
      </c>
      <c r="V10">
        <v>20</v>
      </c>
      <c r="W10">
        <v>32</v>
      </c>
      <c r="X10">
        <v>3.5</v>
      </c>
      <c r="Z10">
        <v>0</v>
      </c>
    </row>
    <row r="11" spans="1:41" x14ac:dyDescent="0.3">
      <c r="A11">
        <v>172890</v>
      </c>
      <c r="B11" t="s">
        <v>50</v>
      </c>
      <c r="C11" t="s">
        <v>51</v>
      </c>
      <c r="D11">
        <v>2019</v>
      </c>
      <c r="E11" t="s">
        <v>52</v>
      </c>
      <c r="F11" t="s">
        <v>53</v>
      </c>
      <c r="S11">
        <v>3</v>
      </c>
      <c r="T11">
        <v>1</v>
      </c>
      <c r="U11">
        <v>2.5</v>
      </c>
      <c r="V11">
        <v>36</v>
      </c>
      <c r="W11">
        <v>56</v>
      </c>
      <c r="X11">
        <v>4</v>
      </c>
      <c r="Y11">
        <v>1</v>
      </c>
      <c r="Z11">
        <v>1</v>
      </c>
    </row>
    <row r="12" spans="1:41" x14ac:dyDescent="0.3">
      <c r="A12">
        <v>173519</v>
      </c>
      <c r="B12" t="s">
        <v>54</v>
      </c>
      <c r="C12" t="s">
        <v>55</v>
      </c>
      <c r="D12">
        <v>2017</v>
      </c>
      <c r="E12" t="s">
        <v>56</v>
      </c>
      <c r="F12" t="s">
        <v>57</v>
      </c>
      <c r="G12">
        <v>398</v>
      </c>
      <c r="H12">
        <v>262</v>
      </c>
      <c r="I12">
        <v>2802</v>
      </c>
      <c r="J12">
        <v>0.65800000000000003</v>
      </c>
      <c r="K12">
        <v>13</v>
      </c>
      <c r="L12">
        <v>8</v>
      </c>
      <c r="M12">
        <v>192</v>
      </c>
      <c r="N12">
        <v>665</v>
      </c>
      <c r="O12">
        <v>11</v>
      </c>
      <c r="S12">
        <v>0</v>
      </c>
      <c r="T12">
        <v>0</v>
      </c>
      <c r="U12">
        <v>0</v>
      </c>
      <c r="V12">
        <v>4</v>
      </c>
      <c r="W12">
        <v>4</v>
      </c>
      <c r="X12">
        <v>0</v>
      </c>
      <c r="Z12">
        <v>0</v>
      </c>
      <c r="AK12">
        <v>4</v>
      </c>
      <c r="AL12">
        <v>2</v>
      </c>
    </row>
    <row r="13" spans="1:41" x14ac:dyDescent="0.3">
      <c r="A13">
        <v>173519</v>
      </c>
      <c r="B13" t="s">
        <v>54</v>
      </c>
      <c r="C13" t="s">
        <v>55</v>
      </c>
      <c r="D13">
        <v>2018</v>
      </c>
      <c r="E13" t="s">
        <v>56</v>
      </c>
      <c r="F13" t="s">
        <v>57</v>
      </c>
      <c r="G13">
        <v>54</v>
      </c>
      <c r="H13">
        <v>36</v>
      </c>
      <c r="I13">
        <v>461</v>
      </c>
      <c r="J13">
        <v>0.66700000000000004</v>
      </c>
      <c r="K13">
        <v>2</v>
      </c>
      <c r="L13">
        <v>1</v>
      </c>
      <c r="M13">
        <v>30</v>
      </c>
      <c r="N13">
        <v>130</v>
      </c>
      <c r="O13">
        <v>2</v>
      </c>
      <c r="AK13">
        <v>2</v>
      </c>
      <c r="AL13">
        <v>0</v>
      </c>
    </row>
    <row r="14" spans="1:41" x14ac:dyDescent="0.3">
      <c r="A14">
        <v>173519</v>
      </c>
      <c r="B14" t="s">
        <v>54</v>
      </c>
      <c r="C14" t="s">
        <v>55</v>
      </c>
      <c r="D14">
        <v>2019</v>
      </c>
      <c r="E14" t="s">
        <v>58</v>
      </c>
      <c r="F14" t="s">
        <v>59</v>
      </c>
      <c r="G14">
        <v>292</v>
      </c>
      <c r="H14">
        <v>181</v>
      </c>
      <c r="I14">
        <v>2215</v>
      </c>
      <c r="J14">
        <v>0.62</v>
      </c>
      <c r="K14">
        <v>15</v>
      </c>
      <c r="L14">
        <v>6</v>
      </c>
      <c r="M14">
        <v>106</v>
      </c>
      <c r="N14">
        <v>242</v>
      </c>
      <c r="O14">
        <v>1</v>
      </c>
      <c r="S14">
        <v>0</v>
      </c>
      <c r="T14">
        <v>0</v>
      </c>
      <c r="U14">
        <v>0</v>
      </c>
      <c r="V14">
        <v>2</v>
      </c>
      <c r="W14">
        <v>2</v>
      </c>
      <c r="X14">
        <v>0</v>
      </c>
      <c r="Z14">
        <v>0</v>
      </c>
      <c r="AK14">
        <v>4</v>
      </c>
      <c r="AL14">
        <v>2</v>
      </c>
    </row>
    <row r="15" spans="1:41" ht="15" thickBot="1" x14ac:dyDescent="0.35">
      <c r="A15">
        <v>173587</v>
      </c>
      <c r="B15" t="s">
        <v>42</v>
      </c>
      <c r="C15" t="s">
        <v>60</v>
      </c>
      <c r="D15">
        <v>2017</v>
      </c>
      <c r="E15" t="s">
        <v>61</v>
      </c>
      <c r="F15" t="s">
        <v>62</v>
      </c>
      <c r="S15">
        <v>3</v>
      </c>
      <c r="T15">
        <v>0</v>
      </c>
      <c r="U15">
        <v>1</v>
      </c>
      <c r="V15">
        <v>27</v>
      </c>
      <c r="W15">
        <v>41</v>
      </c>
      <c r="X15">
        <v>2.5</v>
      </c>
      <c r="Z15">
        <v>0</v>
      </c>
      <c r="AK15">
        <v>0</v>
      </c>
      <c r="AL15">
        <v>0</v>
      </c>
      <c r="AO15" s="3"/>
    </row>
    <row r="16" spans="1:41" ht="15" thickBot="1" x14ac:dyDescent="0.35">
      <c r="A16">
        <v>173587</v>
      </c>
      <c r="B16" t="s">
        <v>42</v>
      </c>
      <c r="C16" t="s">
        <v>60</v>
      </c>
      <c r="D16">
        <v>2018</v>
      </c>
      <c r="E16" t="s">
        <v>61</v>
      </c>
      <c r="F16" t="s">
        <v>62</v>
      </c>
      <c r="S16">
        <v>3</v>
      </c>
      <c r="T16">
        <v>1</v>
      </c>
      <c r="U16">
        <v>1</v>
      </c>
      <c r="V16">
        <v>25</v>
      </c>
      <c r="W16">
        <v>49</v>
      </c>
      <c r="X16">
        <v>3.5</v>
      </c>
      <c r="Y16">
        <v>2</v>
      </c>
      <c r="Z16">
        <v>0</v>
      </c>
      <c r="AO16" s="3"/>
    </row>
    <row r="17" spans="1:41" ht="15" thickBot="1" x14ac:dyDescent="0.35">
      <c r="A17">
        <v>173587</v>
      </c>
      <c r="B17" t="s">
        <v>42</v>
      </c>
      <c r="C17" t="s">
        <v>60</v>
      </c>
      <c r="D17">
        <v>2019</v>
      </c>
      <c r="E17" t="s">
        <v>61</v>
      </c>
      <c r="F17" t="s">
        <v>62</v>
      </c>
      <c r="S17">
        <v>1</v>
      </c>
      <c r="T17">
        <v>0</v>
      </c>
      <c r="U17">
        <v>2</v>
      </c>
      <c r="V17">
        <v>57</v>
      </c>
      <c r="W17">
        <v>88</v>
      </c>
      <c r="X17">
        <v>4.5</v>
      </c>
      <c r="Y17">
        <v>2</v>
      </c>
      <c r="Z17">
        <v>0</v>
      </c>
      <c r="AK17">
        <v>0</v>
      </c>
      <c r="AL17">
        <v>0</v>
      </c>
      <c r="AO17" s="3"/>
    </row>
    <row r="18" spans="1:41" ht="15" thickBot="1" x14ac:dyDescent="0.35">
      <c r="A18">
        <v>173646</v>
      </c>
      <c r="B18" t="s">
        <v>50</v>
      </c>
      <c r="C18" t="s">
        <v>63</v>
      </c>
      <c r="D18">
        <v>2017</v>
      </c>
      <c r="E18" t="s">
        <v>64</v>
      </c>
      <c r="F18" t="s">
        <v>65</v>
      </c>
      <c r="S18">
        <v>13</v>
      </c>
      <c r="T18">
        <v>0</v>
      </c>
      <c r="U18">
        <v>0</v>
      </c>
      <c r="V18">
        <v>39</v>
      </c>
      <c r="W18">
        <v>46</v>
      </c>
      <c r="X18">
        <v>2</v>
      </c>
      <c r="Y18">
        <v>3</v>
      </c>
      <c r="Z18">
        <v>1</v>
      </c>
      <c r="AO18" s="3"/>
    </row>
    <row r="19" spans="1:41" ht="15" thickBot="1" x14ac:dyDescent="0.35">
      <c r="A19">
        <v>173646</v>
      </c>
      <c r="B19" t="s">
        <v>50</v>
      </c>
      <c r="C19" t="s">
        <v>63</v>
      </c>
      <c r="D19">
        <v>2019</v>
      </c>
      <c r="E19" t="s">
        <v>64</v>
      </c>
      <c r="F19" t="s">
        <v>65</v>
      </c>
      <c r="S19">
        <v>6</v>
      </c>
      <c r="T19">
        <v>0</v>
      </c>
      <c r="U19">
        <v>1</v>
      </c>
      <c r="V19">
        <v>47</v>
      </c>
      <c r="W19">
        <v>55</v>
      </c>
      <c r="X19">
        <v>2</v>
      </c>
      <c r="Y19">
        <v>3</v>
      </c>
      <c r="Z19">
        <v>0</v>
      </c>
      <c r="AO19" s="3"/>
    </row>
    <row r="20" spans="1:41" ht="15" thickBot="1" x14ac:dyDescent="0.35">
      <c r="A20">
        <v>174215</v>
      </c>
      <c r="B20" t="s">
        <v>50</v>
      </c>
      <c r="C20" t="s">
        <v>66</v>
      </c>
      <c r="D20">
        <v>2018</v>
      </c>
      <c r="E20" t="s">
        <v>67</v>
      </c>
      <c r="F20" t="s">
        <v>68</v>
      </c>
      <c r="S20">
        <v>8</v>
      </c>
      <c r="T20">
        <v>2</v>
      </c>
      <c r="U20">
        <v>0</v>
      </c>
      <c r="V20">
        <v>17</v>
      </c>
      <c r="W20">
        <v>24</v>
      </c>
      <c r="X20">
        <v>1</v>
      </c>
      <c r="Y20">
        <v>2</v>
      </c>
      <c r="Z20">
        <v>0</v>
      </c>
      <c r="AO20" s="3"/>
    </row>
    <row r="21" spans="1:41" ht="15" thickBot="1" x14ac:dyDescent="0.35">
      <c r="A21">
        <v>174215</v>
      </c>
      <c r="B21" t="s">
        <v>50</v>
      </c>
      <c r="C21" t="s">
        <v>66</v>
      </c>
      <c r="D21">
        <v>2019</v>
      </c>
      <c r="E21" t="s">
        <v>67</v>
      </c>
      <c r="F21" t="s">
        <v>68</v>
      </c>
      <c r="S21">
        <v>8</v>
      </c>
      <c r="T21">
        <v>1</v>
      </c>
      <c r="U21">
        <v>1</v>
      </c>
      <c r="V21">
        <v>26</v>
      </c>
      <c r="W21">
        <v>37</v>
      </c>
      <c r="X21">
        <v>2.5</v>
      </c>
      <c r="Y21">
        <v>2</v>
      </c>
      <c r="Z21">
        <v>1</v>
      </c>
      <c r="AO21" s="3"/>
    </row>
    <row r="22" spans="1:41" ht="15" thickBot="1" x14ac:dyDescent="0.35">
      <c r="A22">
        <v>174315</v>
      </c>
      <c r="B22" t="s">
        <v>69</v>
      </c>
      <c r="C22" t="s">
        <v>70</v>
      </c>
      <c r="D22">
        <v>2017</v>
      </c>
      <c r="E22" t="s">
        <v>71</v>
      </c>
      <c r="F22" t="s">
        <v>72</v>
      </c>
      <c r="S22">
        <v>0</v>
      </c>
      <c r="T22">
        <v>0</v>
      </c>
      <c r="U22">
        <v>0.5</v>
      </c>
      <c r="V22">
        <v>5</v>
      </c>
      <c r="W22">
        <v>10</v>
      </c>
      <c r="X22">
        <v>1.5</v>
      </c>
      <c r="Z22">
        <v>0</v>
      </c>
      <c r="AF22">
        <v>11</v>
      </c>
      <c r="AG22">
        <v>11</v>
      </c>
      <c r="AH22">
        <v>1</v>
      </c>
      <c r="AI22">
        <v>0</v>
      </c>
      <c r="AJ22">
        <v>11</v>
      </c>
      <c r="AK22">
        <v>0</v>
      </c>
      <c r="AL22">
        <v>0</v>
      </c>
      <c r="AO22" s="3"/>
    </row>
    <row r="23" spans="1:41" ht="15" thickBot="1" x14ac:dyDescent="0.35">
      <c r="A23">
        <v>174315</v>
      </c>
      <c r="B23" t="s">
        <v>69</v>
      </c>
      <c r="C23" t="s">
        <v>70</v>
      </c>
      <c r="D23">
        <v>2018</v>
      </c>
      <c r="E23" t="s">
        <v>71</v>
      </c>
      <c r="F23" t="s">
        <v>72</v>
      </c>
      <c r="S23">
        <v>2</v>
      </c>
      <c r="T23">
        <v>4</v>
      </c>
      <c r="U23">
        <v>6</v>
      </c>
      <c r="V23">
        <v>16</v>
      </c>
      <c r="W23">
        <v>36</v>
      </c>
      <c r="X23">
        <v>9</v>
      </c>
      <c r="Z23">
        <v>0</v>
      </c>
      <c r="AK23">
        <v>0</v>
      </c>
      <c r="AL23">
        <v>0</v>
      </c>
      <c r="AO23" s="3"/>
    </row>
    <row r="24" spans="1:41" ht="15" thickBot="1" x14ac:dyDescent="0.35">
      <c r="A24">
        <v>174315</v>
      </c>
      <c r="B24" t="s">
        <v>69</v>
      </c>
      <c r="C24" t="s">
        <v>70</v>
      </c>
      <c r="D24">
        <v>2019</v>
      </c>
      <c r="E24" t="s">
        <v>71</v>
      </c>
      <c r="F24" t="s">
        <v>72</v>
      </c>
      <c r="S24">
        <v>0</v>
      </c>
      <c r="T24">
        <v>7</v>
      </c>
      <c r="U24">
        <v>1</v>
      </c>
      <c r="V24">
        <v>9</v>
      </c>
      <c r="W24">
        <v>20</v>
      </c>
      <c r="X24">
        <v>1</v>
      </c>
      <c r="Z24">
        <v>0</v>
      </c>
      <c r="AO24" s="3"/>
    </row>
    <row r="25" spans="1:41" ht="15" thickBot="1" x14ac:dyDescent="0.35">
      <c r="A25">
        <v>174449</v>
      </c>
      <c r="B25" t="s">
        <v>42</v>
      </c>
      <c r="C25" t="s">
        <v>73</v>
      </c>
      <c r="D25">
        <v>2017</v>
      </c>
      <c r="E25" t="s">
        <v>74</v>
      </c>
      <c r="F25" t="s">
        <v>75</v>
      </c>
      <c r="S25">
        <v>10</v>
      </c>
      <c r="T25">
        <v>0</v>
      </c>
      <c r="U25">
        <v>1</v>
      </c>
      <c r="V25">
        <v>55</v>
      </c>
      <c r="W25">
        <v>67</v>
      </c>
      <c r="X25">
        <v>4</v>
      </c>
      <c r="Y25">
        <v>1</v>
      </c>
      <c r="Z25">
        <v>0</v>
      </c>
      <c r="AK25">
        <v>0</v>
      </c>
      <c r="AL25">
        <v>0</v>
      </c>
      <c r="AO25" s="3"/>
    </row>
    <row r="26" spans="1:41" ht="15" thickBot="1" x14ac:dyDescent="0.35">
      <c r="A26">
        <v>174449</v>
      </c>
      <c r="B26" t="s">
        <v>42</v>
      </c>
      <c r="C26" t="s">
        <v>73</v>
      </c>
      <c r="D26">
        <v>2018</v>
      </c>
      <c r="E26" t="s">
        <v>74</v>
      </c>
      <c r="F26" t="s">
        <v>75</v>
      </c>
      <c r="S26">
        <v>4</v>
      </c>
      <c r="T26">
        <v>0</v>
      </c>
      <c r="U26">
        <v>0</v>
      </c>
      <c r="V26">
        <v>54</v>
      </c>
      <c r="W26">
        <v>72</v>
      </c>
      <c r="X26">
        <v>2.5</v>
      </c>
      <c r="Y26">
        <v>1</v>
      </c>
      <c r="Z26">
        <v>0</v>
      </c>
      <c r="AO26" s="3"/>
    </row>
    <row r="27" spans="1:41" ht="15" thickBot="1" x14ac:dyDescent="0.35">
      <c r="A27">
        <v>174449</v>
      </c>
      <c r="B27" t="s">
        <v>42</v>
      </c>
      <c r="C27" t="s">
        <v>73</v>
      </c>
      <c r="D27">
        <v>2019</v>
      </c>
      <c r="E27" t="s">
        <v>74</v>
      </c>
      <c r="F27" t="s">
        <v>75</v>
      </c>
      <c r="S27">
        <v>9</v>
      </c>
      <c r="T27">
        <v>0</v>
      </c>
      <c r="U27">
        <v>0</v>
      </c>
      <c r="V27">
        <v>48</v>
      </c>
      <c r="W27">
        <v>77</v>
      </c>
      <c r="X27">
        <v>3</v>
      </c>
      <c r="Y27">
        <v>4</v>
      </c>
      <c r="Z27">
        <v>0</v>
      </c>
      <c r="AK27">
        <v>0</v>
      </c>
      <c r="AL27">
        <v>0</v>
      </c>
      <c r="AO27" s="3"/>
    </row>
    <row r="28" spans="1:41" ht="15" thickBot="1" x14ac:dyDescent="0.35">
      <c r="A28">
        <v>174850</v>
      </c>
      <c r="B28" t="s">
        <v>76</v>
      </c>
      <c r="C28" t="s">
        <v>77</v>
      </c>
      <c r="D28">
        <v>2017</v>
      </c>
      <c r="E28" t="s">
        <v>78</v>
      </c>
      <c r="F28" t="s">
        <v>79</v>
      </c>
      <c r="M28">
        <v>49</v>
      </c>
      <c r="N28">
        <v>394</v>
      </c>
      <c r="O28">
        <v>3</v>
      </c>
      <c r="P28">
        <v>7</v>
      </c>
      <c r="Q28">
        <v>0</v>
      </c>
      <c r="R28">
        <v>54</v>
      </c>
      <c r="AA28">
        <v>18</v>
      </c>
      <c r="AB28">
        <v>18</v>
      </c>
      <c r="AC28">
        <v>1</v>
      </c>
      <c r="AD28">
        <v>0</v>
      </c>
      <c r="AE28">
        <v>18</v>
      </c>
      <c r="AO28" s="3"/>
    </row>
    <row r="29" spans="1:41" ht="15" thickBot="1" x14ac:dyDescent="0.35">
      <c r="A29">
        <v>174850</v>
      </c>
      <c r="B29" t="s">
        <v>76</v>
      </c>
      <c r="C29" t="s">
        <v>77</v>
      </c>
      <c r="D29">
        <v>2018</v>
      </c>
      <c r="E29" t="s">
        <v>78</v>
      </c>
      <c r="F29" t="s">
        <v>79</v>
      </c>
      <c r="M29">
        <v>205</v>
      </c>
      <c r="N29">
        <v>1228</v>
      </c>
      <c r="O29">
        <v>6</v>
      </c>
      <c r="P29">
        <v>30</v>
      </c>
      <c r="Q29">
        <v>1</v>
      </c>
      <c r="R29">
        <v>185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Z29">
        <v>0</v>
      </c>
      <c r="AA29">
        <v>18.2</v>
      </c>
      <c r="AB29">
        <v>27</v>
      </c>
      <c r="AC29">
        <v>14</v>
      </c>
      <c r="AD29">
        <v>0</v>
      </c>
      <c r="AE29">
        <v>255</v>
      </c>
      <c r="AK29">
        <v>4</v>
      </c>
      <c r="AL29">
        <v>3</v>
      </c>
      <c r="AO29" s="3"/>
    </row>
    <row r="30" spans="1:41" ht="15" thickBot="1" x14ac:dyDescent="0.35">
      <c r="A30">
        <v>174850</v>
      </c>
      <c r="B30" t="s">
        <v>76</v>
      </c>
      <c r="C30" t="s">
        <v>77</v>
      </c>
      <c r="D30">
        <v>2019</v>
      </c>
      <c r="E30" t="s">
        <v>78</v>
      </c>
      <c r="F30" t="s">
        <v>79</v>
      </c>
      <c r="M30">
        <v>266</v>
      </c>
      <c r="N30">
        <v>1472</v>
      </c>
      <c r="O30">
        <v>23</v>
      </c>
      <c r="P30">
        <v>15</v>
      </c>
      <c r="Q30">
        <v>0</v>
      </c>
      <c r="R30">
        <v>55</v>
      </c>
      <c r="AK30">
        <v>1</v>
      </c>
      <c r="AL30">
        <v>1</v>
      </c>
      <c r="AO30" s="3"/>
    </row>
    <row r="31" spans="1:41" ht="15" thickBot="1" x14ac:dyDescent="0.35">
      <c r="A31">
        <v>181911</v>
      </c>
      <c r="B31" t="s">
        <v>80</v>
      </c>
      <c r="C31" t="s">
        <v>81</v>
      </c>
      <c r="D31">
        <v>2017</v>
      </c>
      <c r="E31" t="s">
        <v>82</v>
      </c>
      <c r="F31" t="s">
        <v>83</v>
      </c>
      <c r="S31">
        <v>0</v>
      </c>
      <c r="T31">
        <v>2</v>
      </c>
      <c r="U31">
        <v>1</v>
      </c>
      <c r="V31">
        <v>10</v>
      </c>
      <c r="W31">
        <v>18</v>
      </c>
      <c r="X31">
        <v>3</v>
      </c>
      <c r="Y31">
        <v>1</v>
      </c>
      <c r="Z31">
        <v>0</v>
      </c>
      <c r="AK31">
        <v>0</v>
      </c>
      <c r="AL31">
        <v>0</v>
      </c>
      <c r="AO31" s="3"/>
    </row>
    <row r="32" spans="1:41" ht="15" thickBot="1" x14ac:dyDescent="0.35">
      <c r="A32">
        <v>181911</v>
      </c>
      <c r="B32" t="s">
        <v>80</v>
      </c>
      <c r="C32" t="s">
        <v>81</v>
      </c>
      <c r="D32">
        <v>2018</v>
      </c>
      <c r="E32" t="s">
        <v>82</v>
      </c>
      <c r="F32" t="s">
        <v>83</v>
      </c>
      <c r="S32">
        <v>3</v>
      </c>
      <c r="T32">
        <v>6</v>
      </c>
      <c r="U32">
        <v>3</v>
      </c>
      <c r="V32">
        <v>14</v>
      </c>
      <c r="W32">
        <v>28</v>
      </c>
      <c r="X32">
        <v>5</v>
      </c>
      <c r="Z32">
        <v>0</v>
      </c>
      <c r="AO32" s="3"/>
    </row>
    <row r="33" spans="1:41" ht="15" thickBot="1" x14ac:dyDescent="0.35">
      <c r="A33">
        <v>181911</v>
      </c>
      <c r="B33" t="s">
        <v>80</v>
      </c>
      <c r="C33" t="s">
        <v>81</v>
      </c>
      <c r="D33">
        <v>2019</v>
      </c>
      <c r="E33" t="s">
        <v>82</v>
      </c>
      <c r="F33" t="s">
        <v>83</v>
      </c>
      <c r="S33">
        <v>1</v>
      </c>
      <c r="T33">
        <v>10</v>
      </c>
      <c r="U33">
        <v>8</v>
      </c>
      <c r="V33">
        <v>37</v>
      </c>
      <c r="W33">
        <v>57</v>
      </c>
      <c r="X33">
        <v>11.5</v>
      </c>
      <c r="Z33">
        <v>0</v>
      </c>
      <c r="AO33" s="3"/>
    </row>
    <row r="34" spans="1:41" ht="15" thickBot="1" x14ac:dyDescent="0.35">
      <c r="A34">
        <v>182164</v>
      </c>
      <c r="B34" t="s">
        <v>84</v>
      </c>
      <c r="C34" t="s">
        <v>85</v>
      </c>
      <c r="D34">
        <v>2017</v>
      </c>
      <c r="E34" t="s">
        <v>86</v>
      </c>
      <c r="F34" t="s">
        <v>87</v>
      </c>
      <c r="S34">
        <v>0</v>
      </c>
      <c r="T34">
        <v>0</v>
      </c>
      <c r="U34">
        <v>0</v>
      </c>
      <c r="V34">
        <v>3</v>
      </c>
      <c r="W34">
        <v>3</v>
      </c>
      <c r="X34">
        <v>0</v>
      </c>
      <c r="Z34">
        <v>0</v>
      </c>
      <c r="AO34" s="3"/>
    </row>
    <row r="35" spans="1:41" ht="15" thickBot="1" x14ac:dyDescent="0.35">
      <c r="A35">
        <v>182164</v>
      </c>
      <c r="B35" t="s">
        <v>84</v>
      </c>
      <c r="C35" t="s">
        <v>85</v>
      </c>
      <c r="D35">
        <v>2019</v>
      </c>
      <c r="E35" t="s">
        <v>86</v>
      </c>
      <c r="F35" t="s">
        <v>87</v>
      </c>
      <c r="S35">
        <v>0</v>
      </c>
      <c r="T35">
        <v>0</v>
      </c>
      <c r="U35">
        <v>0</v>
      </c>
      <c r="V35">
        <v>10</v>
      </c>
      <c r="W35">
        <v>14</v>
      </c>
      <c r="X35">
        <v>0</v>
      </c>
      <c r="Z35">
        <v>0</v>
      </c>
      <c r="AO35" s="3"/>
    </row>
    <row r="36" spans="1:41" ht="15" thickBot="1" x14ac:dyDescent="0.35">
      <c r="A36">
        <v>190013</v>
      </c>
      <c r="B36" t="s">
        <v>69</v>
      </c>
      <c r="C36" t="s">
        <v>88</v>
      </c>
      <c r="D36">
        <v>2017</v>
      </c>
      <c r="E36" t="s">
        <v>89</v>
      </c>
      <c r="F36" t="s">
        <v>90</v>
      </c>
      <c r="S36">
        <v>5</v>
      </c>
      <c r="T36">
        <v>12</v>
      </c>
      <c r="U36">
        <v>9</v>
      </c>
      <c r="V36">
        <v>23</v>
      </c>
      <c r="W36">
        <v>35</v>
      </c>
      <c r="X36">
        <v>13</v>
      </c>
      <c r="Z36">
        <v>0</v>
      </c>
      <c r="AO36" s="3"/>
    </row>
    <row r="37" spans="1:41" ht="15" thickBot="1" x14ac:dyDescent="0.35">
      <c r="A37">
        <v>190013</v>
      </c>
      <c r="B37" t="s">
        <v>69</v>
      </c>
      <c r="C37" t="s">
        <v>88</v>
      </c>
      <c r="D37">
        <v>2018</v>
      </c>
      <c r="E37" t="s">
        <v>89</v>
      </c>
      <c r="F37" t="s">
        <v>90</v>
      </c>
      <c r="S37">
        <v>3</v>
      </c>
      <c r="T37">
        <v>8</v>
      </c>
      <c r="U37">
        <v>7.5</v>
      </c>
      <c r="V37">
        <v>27</v>
      </c>
      <c r="W37">
        <v>44</v>
      </c>
      <c r="X37">
        <v>12.5</v>
      </c>
      <c r="Z37">
        <v>0</v>
      </c>
      <c r="AK37">
        <v>0</v>
      </c>
      <c r="AL37">
        <v>0</v>
      </c>
      <c r="AO37" s="3"/>
    </row>
    <row r="38" spans="1:41" ht="15" thickBot="1" x14ac:dyDescent="0.35">
      <c r="A38">
        <v>190013</v>
      </c>
      <c r="B38" t="s">
        <v>69</v>
      </c>
      <c r="C38" t="s">
        <v>88</v>
      </c>
      <c r="D38">
        <v>2019</v>
      </c>
      <c r="E38" t="s">
        <v>89</v>
      </c>
      <c r="F38" t="s">
        <v>90</v>
      </c>
      <c r="S38">
        <v>5</v>
      </c>
      <c r="T38">
        <v>3</v>
      </c>
      <c r="U38">
        <v>9</v>
      </c>
      <c r="V38">
        <v>34</v>
      </c>
      <c r="W38">
        <v>49</v>
      </c>
      <c r="X38">
        <v>17</v>
      </c>
      <c r="Z38">
        <v>0</v>
      </c>
      <c r="AK38">
        <v>0</v>
      </c>
      <c r="AL38">
        <v>0</v>
      </c>
      <c r="AO38" s="3"/>
    </row>
    <row r="39" spans="1:41" x14ac:dyDescent="0.3">
      <c r="A39">
        <v>191527</v>
      </c>
      <c r="B39" t="s">
        <v>46</v>
      </c>
      <c r="C39" t="s">
        <v>91</v>
      </c>
      <c r="D39">
        <v>2017</v>
      </c>
      <c r="E39" t="s">
        <v>92</v>
      </c>
      <c r="F39" t="s">
        <v>93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25</v>
      </c>
      <c r="O39">
        <v>0</v>
      </c>
      <c r="P39">
        <v>39</v>
      </c>
      <c r="Q39">
        <v>2</v>
      </c>
      <c r="R39">
        <v>475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Z39">
        <v>0</v>
      </c>
    </row>
    <row r="40" spans="1:41" x14ac:dyDescent="0.3">
      <c r="A40">
        <v>191527</v>
      </c>
      <c r="B40" t="s">
        <v>46</v>
      </c>
      <c r="C40" t="s">
        <v>91</v>
      </c>
      <c r="D40">
        <v>2018</v>
      </c>
      <c r="E40" t="s">
        <v>92</v>
      </c>
      <c r="F40" t="s">
        <v>93</v>
      </c>
      <c r="G40">
        <v>1</v>
      </c>
      <c r="H40">
        <v>1</v>
      </c>
      <c r="I40">
        <v>21</v>
      </c>
      <c r="J40">
        <v>1</v>
      </c>
      <c r="K40">
        <v>0</v>
      </c>
      <c r="L40">
        <v>0</v>
      </c>
      <c r="M40">
        <v>1</v>
      </c>
      <c r="N40">
        <v>5</v>
      </c>
      <c r="O40">
        <v>0</v>
      </c>
      <c r="P40">
        <v>40</v>
      </c>
      <c r="Q40">
        <v>10</v>
      </c>
      <c r="R40">
        <v>608</v>
      </c>
      <c r="AA40">
        <v>20.2</v>
      </c>
      <c r="AB40">
        <v>53</v>
      </c>
      <c r="AC40">
        <v>13</v>
      </c>
      <c r="AD40">
        <v>0</v>
      </c>
      <c r="AE40">
        <v>263</v>
      </c>
      <c r="AF40">
        <v>6.8</v>
      </c>
      <c r="AG40">
        <v>24</v>
      </c>
      <c r="AH40">
        <v>5</v>
      </c>
      <c r="AI40">
        <v>0</v>
      </c>
      <c r="AJ40">
        <v>34</v>
      </c>
      <c r="AK40">
        <v>1</v>
      </c>
      <c r="AL40">
        <v>0</v>
      </c>
    </row>
    <row r="41" spans="1:41" x14ac:dyDescent="0.3">
      <c r="A41">
        <v>191527</v>
      </c>
      <c r="B41" t="s">
        <v>46</v>
      </c>
      <c r="C41" t="s">
        <v>91</v>
      </c>
      <c r="D41">
        <v>2019</v>
      </c>
      <c r="E41" t="s">
        <v>92</v>
      </c>
      <c r="F41" t="s">
        <v>93</v>
      </c>
      <c r="P41">
        <v>60</v>
      </c>
      <c r="Q41">
        <v>10</v>
      </c>
      <c r="R41">
        <v>906</v>
      </c>
      <c r="AA41">
        <v>19.3</v>
      </c>
      <c r="AB41">
        <v>46</v>
      </c>
      <c r="AC41">
        <v>10</v>
      </c>
      <c r="AD41">
        <v>0</v>
      </c>
      <c r="AE41">
        <v>193</v>
      </c>
      <c r="AK41">
        <v>1</v>
      </c>
      <c r="AL41">
        <v>0</v>
      </c>
    </row>
    <row r="42" spans="1:41" x14ac:dyDescent="0.3">
      <c r="A42">
        <v>193362</v>
      </c>
      <c r="B42" t="s">
        <v>42</v>
      </c>
      <c r="C42" t="s">
        <v>94</v>
      </c>
      <c r="D42">
        <v>2017</v>
      </c>
      <c r="E42" t="s">
        <v>95</v>
      </c>
      <c r="F42" t="s">
        <v>96</v>
      </c>
      <c r="S42">
        <v>0</v>
      </c>
      <c r="T42">
        <v>0</v>
      </c>
      <c r="U42">
        <v>0</v>
      </c>
      <c r="V42">
        <v>7</v>
      </c>
      <c r="W42">
        <v>11</v>
      </c>
      <c r="X42">
        <v>0</v>
      </c>
      <c r="Z42">
        <v>0</v>
      </c>
    </row>
    <row r="43" spans="1:41" x14ac:dyDescent="0.3">
      <c r="A43">
        <v>193362</v>
      </c>
      <c r="B43" t="s">
        <v>42</v>
      </c>
      <c r="C43" t="s">
        <v>94</v>
      </c>
      <c r="D43">
        <v>2018</v>
      </c>
      <c r="E43" t="s">
        <v>95</v>
      </c>
      <c r="F43" t="s">
        <v>96</v>
      </c>
      <c r="S43">
        <v>0</v>
      </c>
      <c r="T43">
        <v>1</v>
      </c>
      <c r="U43">
        <v>2</v>
      </c>
      <c r="V43">
        <v>18</v>
      </c>
      <c r="W43">
        <v>27</v>
      </c>
      <c r="X43">
        <v>3</v>
      </c>
      <c r="Z43">
        <v>0</v>
      </c>
    </row>
    <row r="44" spans="1:41" x14ac:dyDescent="0.3">
      <c r="A44">
        <v>193362</v>
      </c>
      <c r="B44" t="s">
        <v>42</v>
      </c>
      <c r="C44" t="s">
        <v>94</v>
      </c>
      <c r="D44">
        <v>2019</v>
      </c>
      <c r="E44" t="s">
        <v>95</v>
      </c>
      <c r="F44" t="s">
        <v>96</v>
      </c>
      <c r="S44">
        <v>1</v>
      </c>
      <c r="T44">
        <v>4</v>
      </c>
      <c r="U44">
        <v>5</v>
      </c>
      <c r="V44">
        <v>46</v>
      </c>
      <c r="W44">
        <v>89</v>
      </c>
      <c r="X44">
        <v>7</v>
      </c>
      <c r="Z44">
        <v>0</v>
      </c>
      <c r="AF44">
        <v>32</v>
      </c>
      <c r="AG44">
        <v>32</v>
      </c>
      <c r="AH44">
        <v>1</v>
      </c>
      <c r="AI44">
        <v>0</v>
      </c>
      <c r="AJ44">
        <v>32</v>
      </c>
      <c r="AK44">
        <v>0</v>
      </c>
      <c r="AL44">
        <v>0</v>
      </c>
    </row>
    <row r="45" spans="1:41" x14ac:dyDescent="0.3">
      <c r="A45">
        <v>194434</v>
      </c>
      <c r="B45" t="s">
        <v>50</v>
      </c>
      <c r="C45" t="s">
        <v>97</v>
      </c>
      <c r="D45">
        <v>2018</v>
      </c>
      <c r="E45" t="s">
        <v>98</v>
      </c>
      <c r="F45" t="s">
        <v>99</v>
      </c>
      <c r="S45">
        <v>9</v>
      </c>
      <c r="T45">
        <v>0</v>
      </c>
      <c r="U45">
        <v>1.5</v>
      </c>
      <c r="V45">
        <v>33</v>
      </c>
      <c r="W45">
        <v>40</v>
      </c>
      <c r="X45">
        <v>2.5</v>
      </c>
      <c r="Y45">
        <v>3</v>
      </c>
      <c r="Z45">
        <v>1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</row>
    <row r="46" spans="1:41" ht="15" thickBot="1" x14ac:dyDescent="0.35">
      <c r="A46">
        <v>194434</v>
      </c>
      <c r="B46" t="s">
        <v>50</v>
      </c>
      <c r="C46" t="s">
        <v>97</v>
      </c>
      <c r="D46">
        <v>2019</v>
      </c>
      <c r="E46" t="s">
        <v>98</v>
      </c>
      <c r="F46" t="s">
        <v>99</v>
      </c>
      <c r="S46">
        <v>9</v>
      </c>
      <c r="T46">
        <v>0</v>
      </c>
      <c r="U46">
        <v>0</v>
      </c>
      <c r="V46">
        <v>18</v>
      </c>
      <c r="W46">
        <v>23</v>
      </c>
      <c r="X46">
        <v>0</v>
      </c>
      <c r="Y46">
        <v>3</v>
      </c>
      <c r="Z46">
        <v>0</v>
      </c>
      <c r="AK46">
        <v>0</v>
      </c>
      <c r="AL46">
        <v>0</v>
      </c>
      <c r="AO46" s="3"/>
    </row>
    <row r="47" spans="1:41" ht="15" thickBot="1" x14ac:dyDescent="0.35">
      <c r="A47">
        <v>194582</v>
      </c>
      <c r="B47" t="s">
        <v>100</v>
      </c>
      <c r="C47" t="s">
        <v>101</v>
      </c>
      <c r="D47">
        <v>2017</v>
      </c>
      <c r="E47" t="s">
        <v>102</v>
      </c>
      <c r="F47" t="s">
        <v>103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Z47">
        <v>0</v>
      </c>
      <c r="AO47" s="3"/>
    </row>
    <row r="48" spans="1:41" ht="15" thickBot="1" x14ac:dyDescent="0.35">
      <c r="A48">
        <v>194582</v>
      </c>
      <c r="B48" t="s">
        <v>100</v>
      </c>
      <c r="C48" t="s">
        <v>101</v>
      </c>
      <c r="D48">
        <v>2019</v>
      </c>
      <c r="E48" t="s">
        <v>102</v>
      </c>
      <c r="F48" t="s">
        <v>103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Z48">
        <v>0</v>
      </c>
      <c r="AO48" s="3"/>
    </row>
    <row r="49" spans="1:41" ht="15" thickBot="1" x14ac:dyDescent="0.35">
      <c r="A49">
        <v>194614</v>
      </c>
      <c r="B49" t="s">
        <v>80</v>
      </c>
      <c r="C49" t="s">
        <v>104</v>
      </c>
      <c r="D49">
        <v>2017</v>
      </c>
      <c r="E49" t="s">
        <v>105</v>
      </c>
      <c r="F49" t="s">
        <v>106</v>
      </c>
      <c r="S49">
        <v>0</v>
      </c>
      <c r="T49">
        <v>1</v>
      </c>
      <c r="U49">
        <v>1</v>
      </c>
      <c r="V49">
        <v>6</v>
      </c>
      <c r="W49">
        <v>15</v>
      </c>
      <c r="X49">
        <v>2.5</v>
      </c>
      <c r="Z49">
        <v>0</v>
      </c>
      <c r="AK49">
        <v>0</v>
      </c>
      <c r="AL49">
        <v>0</v>
      </c>
      <c r="AO49" s="3"/>
    </row>
    <row r="50" spans="1:41" ht="15" thickBot="1" x14ac:dyDescent="0.35">
      <c r="A50">
        <v>194614</v>
      </c>
      <c r="B50" t="s">
        <v>80</v>
      </c>
      <c r="C50" t="s">
        <v>104</v>
      </c>
      <c r="D50">
        <v>2018</v>
      </c>
      <c r="E50" t="s">
        <v>105</v>
      </c>
      <c r="F50" t="s">
        <v>106</v>
      </c>
      <c r="S50">
        <v>2</v>
      </c>
      <c r="T50">
        <v>8</v>
      </c>
      <c r="U50">
        <v>4</v>
      </c>
      <c r="V50">
        <v>20</v>
      </c>
      <c r="W50">
        <v>54</v>
      </c>
      <c r="X50">
        <v>9.5</v>
      </c>
      <c r="Y50">
        <v>1</v>
      </c>
      <c r="Z50">
        <v>1</v>
      </c>
      <c r="AK50">
        <v>0</v>
      </c>
      <c r="AL50">
        <v>0</v>
      </c>
      <c r="AO50" s="3"/>
    </row>
    <row r="51" spans="1:41" ht="15" thickBot="1" x14ac:dyDescent="0.35">
      <c r="A51">
        <v>194614</v>
      </c>
      <c r="B51" t="s">
        <v>80</v>
      </c>
      <c r="C51" t="s">
        <v>104</v>
      </c>
      <c r="D51">
        <v>2019</v>
      </c>
      <c r="E51" t="s">
        <v>105</v>
      </c>
      <c r="F51" t="s">
        <v>106</v>
      </c>
      <c r="S51">
        <v>0</v>
      </c>
      <c r="T51">
        <v>3</v>
      </c>
      <c r="U51">
        <v>3</v>
      </c>
      <c r="V51">
        <v>17</v>
      </c>
      <c r="W51">
        <v>22</v>
      </c>
      <c r="X51">
        <v>4</v>
      </c>
      <c r="Z51">
        <v>0</v>
      </c>
      <c r="AO51" s="3"/>
    </row>
    <row r="52" spans="1:41" ht="15" thickBot="1" x14ac:dyDescent="0.35">
      <c r="A52">
        <v>194644</v>
      </c>
      <c r="B52" t="s">
        <v>84</v>
      </c>
      <c r="C52" t="s">
        <v>107</v>
      </c>
      <c r="D52">
        <v>2017</v>
      </c>
      <c r="E52" t="s">
        <v>108</v>
      </c>
      <c r="F52" t="s">
        <v>109</v>
      </c>
      <c r="S52">
        <v>5</v>
      </c>
      <c r="T52">
        <v>4</v>
      </c>
      <c r="U52">
        <v>6</v>
      </c>
      <c r="V52">
        <v>49</v>
      </c>
      <c r="W52">
        <v>99</v>
      </c>
      <c r="X52">
        <v>12</v>
      </c>
      <c r="Z52">
        <v>0</v>
      </c>
      <c r="AO52" s="3"/>
    </row>
    <row r="53" spans="1:41" ht="15" thickBot="1" x14ac:dyDescent="0.35">
      <c r="A53">
        <v>194644</v>
      </c>
      <c r="B53" t="s">
        <v>84</v>
      </c>
      <c r="C53" t="s">
        <v>107</v>
      </c>
      <c r="D53">
        <v>2018</v>
      </c>
      <c r="E53" t="s">
        <v>108</v>
      </c>
      <c r="F53" t="s">
        <v>109</v>
      </c>
      <c r="S53">
        <v>1</v>
      </c>
      <c r="T53">
        <v>2</v>
      </c>
      <c r="U53">
        <v>1</v>
      </c>
      <c r="V53">
        <v>34</v>
      </c>
      <c r="W53">
        <v>83</v>
      </c>
      <c r="X53">
        <v>5.5</v>
      </c>
      <c r="Y53">
        <v>4</v>
      </c>
      <c r="Z53">
        <v>0</v>
      </c>
      <c r="AK53">
        <v>0</v>
      </c>
      <c r="AL53">
        <v>0</v>
      </c>
      <c r="AO53" s="3"/>
    </row>
    <row r="54" spans="1:41" ht="15" thickBot="1" x14ac:dyDescent="0.35">
      <c r="A54">
        <v>194644</v>
      </c>
      <c r="B54" t="s">
        <v>84</v>
      </c>
      <c r="C54" t="s">
        <v>107</v>
      </c>
      <c r="D54">
        <v>2019</v>
      </c>
      <c r="E54" t="s">
        <v>108</v>
      </c>
      <c r="F54" t="s">
        <v>109</v>
      </c>
      <c r="S54">
        <v>2</v>
      </c>
      <c r="T54">
        <v>4</v>
      </c>
      <c r="U54">
        <v>3.5</v>
      </c>
      <c r="V54">
        <v>58</v>
      </c>
      <c r="W54">
        <v>109</v>
      </c>
      <c r="X54">
        <v>11.5</v>
      </c>
      <c r="Y54">
        <v>3</v>
      </c>
      <c r="Z54">
        <v>1</v>
      </c>
      <c r="AK54">
        <v>0</v>
      </c>
      <c r="AL54">
        <v>0</v>
      </c>
      <c r="AO54" s="3"/>
    </row>
    <row r="55" spans="1:41" ht="15" thickBot="1" x14ac:dyDescent="0.35">
      <c r="A55">
        <v>194664</v>
      </c>
      <c r="B55" t="s">
        <v>50</v>
      </c>
      <c r="C55" t="s">
        <v>110</v>
      </c>
      <c r="D55">
        <v>2017</v>
      </c>
      <c r="E55" t="s">
        <v>58</v>
      </c>
      <c r="F55" t="s">
        <v>59</v>
      </c>
      <c r="S55">
        <v>3</v>
      </c>
      <c r="T55">
        <v>0</v>
      </c>
      <c r="U55">
        <v>0</v>
      </c>
      <c r="V55">
        <v>35</v>
      </c>
      <c r="W55">
        <v>48</v>
      </c>
      <c r="X55">
        <v>5.5</v>
      </c>
      <c r="Z55">
        <v>0</v>
      </c>
      <c r="AO55" s="3"/>
    </row>
    <row r="56" spans="1:41" ht="15" thickBot="1" x14ac:dyDescent="0.35">
      <c r="A56">
        <v>194664</v>
      </c>
      <c r="B56" t="s">
        <v>50</v>
      </c>
      <c r="C56" t="s">
        <v>110</v>
      </c>
      <c r="D56">
        <v>2018</v>
      </c>
      <c r="E56" t="s">
        <v>58</v>
      </c>
      <c r="F56" t="s">
        <v>59</v>
      </c>
      <c r="S56">
        <v>9</v>
      </c>
      <c r="T56">
        <v>0</v>
      </c>
      <c r="U56">
        <v>0</v>
      </c>
      <c r="V56">
        <v>23</v>
      </c>
      <c r="W56">
        <v>28</v>
      </c>
      <c r="X56">
        <v>1</v>
      </c>
      <c r="Y56">
        <v>3</v>
      </c>
      <c r="Z56">
        <v>0</v>
      </c>
      <c r="AO56" s="4"/>
    </row>
    <row r="57" spans="1:41" ht="15" thickBot="1" x14ac:dyDescent="0.35">
      <c r="A57">
        <v>194664</v>
      </c>
      <c r="B57" t="s">
        <v>50</v>
      </c>
      <c r="C57" t="s">
        <v>110</v>
      </c>
      <c r="D57">
        <v>2019</v>
      </c>
      <c r="E57" t="s">
        <v>58</v>
      </c>
      <c r="F57" t="s">
        <v>59</v>
      </c>
      <c r="S57">
        <v>5</v>
      </c>
      <c r="T57">
        <v>0</v>
      </c>
      <c r="U57">
        <v>0</v>
      </c>
      <c r="V57">
        <v>12</v>
      </c>
      <c r="W57">
        <v>15</v>
      </c>
      <c r="X57">
        <v>0</v>
      </c>
      <c r="Z57">
        <v>0</v>
      </c>
      <c r="AK57">
        <v>0</v>
      </c>
      <c r="AL57">
        <v>0</v>
      </c>
      <c r="AO57" s="3"/>
    </row>
    <row r="58" spans="1:41" ht="15" thickBot="1" x14ac:dyDescent="0.35">
      <c r="A58">
        <v>194673</v>
      </c>
      <c r="B58" t="s">
        <v>84</v>
      </c>
      <c r="C58" t="s">
        <v>111</v>
      </c>
      <c r="D58">
        <v>2017</v>
      </c>
      <c r="E58" t="s">
        <v>112</v>
      </c>
      <c r="F58" t="s">
        <v>113</v>
      </c>
      <c r="S58">
        <v>4</v>
      </c>
      <c r="T58">
        <v>2</v>
      </c>
      <c r="U58">
        <v>1</v>
      </c>
      <c r="V58">
        <v>36</v>
      </c>
      <c r="W58">
        <v>74</v>
      </c>
      <c r="X58">
        <v>3</v>
      </c>
      <c r="Y58">
        <v>1</v>
      </c>
      <c r="Z58">
        <v>0</v>
      </c>
      <c r="AK58">
        <v>0</v>
      </c>
      <c r="AL58">
        <v>0</v>
      </c>
      <c r="AO58" s="3"/>
    </row>
    <row r="59" spans="1:41" ht="15" thickBot="1" x14ac:dyDescent="0.35">
      <c r="A59">
        <v>194673</v>
      </c>
      <c r="B59" t="s">
        <v>84</v>
      </c>
      <c r="C59" t="s">
        <v>111</v>
      </c>
      <c r="D59">
        <v>2018</v>
      </c>
      <c r="E59" t="s">
        <v>112</v>
      </c>
      <c r="F59" t="s">
        <v>113</v>
      </c>
      <c r="S59">
        <v>5</v>
      </c>
      <c r="T59">
        <v>0</v>
      </c>
      <c r="U59">
        <v>1</v>
      </c>
      <c r="V59">
        <v>32</v>
      </c>
      <c r="W59">
        <v>53</v>
      </c>
      <c r="X59">
        <v>1.5</v>
      </c>
      <c r="Z59">
        <v>0</v>
      </c>
      <c r="AO59" s="3"/>
    </row>
    <row r="60" spans="1:41" x14ac:dyDescent="0.3">
      <c r="A60">
        <v>194673</v>
      </c>
      <c r="B60" t="s">
        <v>84</v>
      </c>
      <c r="C60" t="s">
        <v>111</v>
      </c>
      <c r="D60">
        <v>2019</v>
      </c>
      <c r="E60" t="s">
        <v>112</v>
      </c>
      <c r="F60" t="s">
        <v>113</v>
      </c>
      <c r="S60">
        <v>3</v>
      </c>
      <c r="T60">
        <v>0</v>
      </c>
      <c r="U60">
        <v>2.5</v>
      </c>
      <c r="V60">
        <v>64</v>
      </c>
      <c r="W60">
        <v>104</v>
      </c>
      <c r="X60">
        <v>7</v>
      </c>
      <c r="Z60">
        <v>0</v>
      </c>
      <c r="AK60">
        <v>0</v>
      </c>
      <c r="AL60">
        <v>0</v>
      </c>
    </row>
    <row r="61" spans="1:41" x14ac:dyDescent="0.3">
      <c r="A61">
        <v>194682</v>
      </c>
      <c r="B61" t="s">
        <v>46</v>
      </c>
      <c r="C61" t="s">
        <v>114</v>
      </c>
      <c r="D61">
        <v>2017</v>
      </c>
      <c r="E61" t="s">
        <v>58</v>
      </c>
      <c r="F61" t="s">
        <v>59</v>
      </c>
      <c r="M61">
        <v>1</v>
      </c>
      <c r="N61">
        <v>0</v>
      </c>
      <c r="O61">
        <v>0</v>
      </c>
      <c r="P61">
        <v>41</v>
      </c>
      <c r="Q61">
        <v>6</v>
      </c>
      <c r="R61">
        <v>724</v>
      </c>
      <c r="AF61">
        <v>7</v>
      </c>
      <c r="AG61">
        <v>10</v>
      </c>
      <c r="AH61">
        <v>2</v>
      </c>
      <c r="AI61">
        <v>0</v>
      </c>
      <c r="AJ61">
        <v>14</v>
      </c>
      <c r="AK61">
        <v>1</v>
      </c>
      <c r="AL61">
        <v>1</v>
      </c>
    </row>
    <row r="62" spans="1:41" x14ac:dyDescent="0.3">
      <c r="A62">
        <v>194682</v>
      </c>
      <c r="B62" t="s">
        <v>46</v>
      </c>
      <c r="C62" t="s">
        <v>114</v>
      </c>
      <c r="D62">
        <v>2018</v>
      </c>
      <c r="E62" t="s">
        <v>58</v>
      </c>
      <c r="F62" t="s">
        <v>59</v>
      </c>
      <c r="M62">
        <v>1</v>
      </c>
      <c r="N62">
        <v>8</v>
      </c>
      <c r="O62">
        <v>0</v>
      </c>
      <c r="P62">
        <v>59</v>
      </c>
      <c r="Q62">
        <v>5</v>
      </c>
      <c r="R62">
        <v>737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Z62">
        <v>0</v>
      </c>
      <c r="AF62">
        <v>1.5</v>
      </c>
      <c r="AG62">
        <v>16</v>
      </c>
      <c r="AH62">
        <v>12</v>
      </c>
      <c r="AI62">
        <v>0</v>
      </c>
      <c r="AJ62">
        <v>18</v>
      </c>
    </row>
    <row r="63" spans="1:41" x14ac:dyDescent="0.3">
      <c r="A63">
        <v>194682</v>
      </c>
      <c r="B63" t="s">
        <v>46</v>
      </c>
      <c r="C63" t="s">
        <v>114</v>
      </c>
      <c r="D63">
        <v>2019</v>
      </c>
      <c r="E63" t="s">
        <v>58</v>
      </c>
      <c r="F63" t="s">
        <v>59</v>
      </c>
      <c r="M63">
        <v>1</v>
      </c>
      <c r="N63">
        <v>13</v>
      </c>
      <c r="O63">
        <v>0</v>
      </c>
      <c r="P63">
        <v>29</v>
      </c>
      <c r="Q63">
        <v>0</v>
      </c>
      <c r="R63">
        <v>294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Z63">
        <v>0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0.5</v>
      </c>
      <c r="AG63">
        <v>1</v>
      </c>
      <c r="AH63">
        <v>2</v>
      </c>
      <c r="AI63">
        <v>0</v>
      </c>
      <c r="AJ63">
        <v>1</v>
      </c>
      <c r="AK63">
        <v>2</v>
      </c>
      <c r="AL63">
        <v>1</v>
      </c>
    </row>
    <row r="64" spans="1:41" x14ac:dyDescent="0.3">
      <c r="A64">
        <v>194690</v>
      </c>
      <c r="B64" t="s">
        <v>42</v>
      </c>
      <c r="C64" t="s">
        <v>115</v>
      </c>
      <c r="D64">
        <v>2017</v>
      </c>
      <c r="E64" t="s">
        <v>116</v>
      </c>
      <c r="F64" t="s">
        <v>117</v>
      </c>
      <c r="S64">
        <v>1</v>
      </c>
      <c r="T64">
        <v>0</v>
      </c>
      <c r="U64">
        <v>0</v>
      </c>
      <c r="V64">
        <v>2</v>
      </c>
      <c r="W64">
        <v>7</v>
      </c>
      <c r="X64">
        <v>0</v>
      </c>
      <c r="Z64">
        <v>0</v>
      </c>
    </row>
    <row r="65" spans="1:38" x14ac:dyDescent="0.3">
      <c r="A65">
        <v>194690</v>
      </c>
      <c r="B65" t="s">
        <v>42</v>
      </c>
      <c r="C65" t="s">
        <v>115</v>
      </c>
      <c r="D65">
        <v>2018</v>
      </c>
      <c r="E65" t="s">
        <v>116</v>
      </c>
      <c r="F65" t="s">
        <v>117</v>
      </c>
      <c r="S65">
        <v>9</v>
      </c>
      <c r="T65">
        <v>3</v>
      </c>
      <c r="U65">
        <v>0</v>
      </c>
      <c r="V65">
        <v>27</v>
      </c>
      <c r="W65">
        <v>43</v>
      </c>
      <c r="X65">
        <v>3.5</v>
      </c>
      <c r="Y65">
        <v>2</v>
      </c>
      <c r="Z65">
        <v>1</v>
      </c>
    </row>
    <row r="66" spans="1:38" x14ac:dyDescent="0.3">
      <c r="A66">
        <v>194690</v>
      </c>
      <c r="B66" t="s">
        <v>42</v>
      </c>
      <c r="C66" t="s">
        <v>115</v>
      </c>
      <c r="D66">
        <v>2019</v>
      </c>
      <c r="E66" t="s">
        <v>116</v>
      </c>
      <c r="F66" t="s">
        <v>117</v>
      </c>
      <c r="S66">
        <v>7</v>
      </c>
      <c r="T66">
        <v>0</v>
      </c>
      <c r="U66">
        <v>0</v>
      </c>
      <c r="V66">
        <v>24</v>
      </c>
      <c r="W66">
        <v>43</v>
      </c>
      <c r="X66">
        <v>2.5</v>
      </c>
      <c r="Y66">
        <v>1</v>
      </c>
      <c r="Z66">
        <v>0</v>
      </c>
    </row>
    <row r="67" spans="1:38" x14ac:dyDescent="0.3">
      <c r="A67">
        <v>194773</v>
      </c>
      <c r="B67" t="s">
        <v>54</v>
      </c>
      <c r="C67" t="s">
        <v>118</v>
      </c>
      <c r="D67">
        <v>2017</v>
      </c>
      <c r="E67" t="s">
        <v>67</v>
      </c>
      <c r="F67" t="s">
        <v>68</v>
      </c>
      <c r="G67">
        <v>27</v>
      </c>
      <c r="H67">
        <v>14</v>
      </c>
      <c r="I67">
        <v>158</v>
      </c>
      <c r="J67">
        <v>0.51900000000000002</v>
      </c>
      <c r="K67">
        <v>3</v>
      </c>
      <c r="L67">
        <v>0</v>
      </c>
      <c r="M67">
        <v>27</v>
      </c>
      <c r="N67">
        <v>190</v>
      </c>
      <c r="O67">
        <v>4</v>
      </c>
      <c r="P67">
        <v>12</v>
      </c>
      <c r="Q67">
        <v>2</v>
      </c>
      <c r="R67">
        <v>60</v>
      </c>
      <c r="AK67">
        <v>1</v>
      </c>
      <c r="AL67">
        <v>0</v>
      </c>
    </row>
    <row r="68" spans="1:38" x14ac:dyDescent="0.3">
      <c r="A68">
        <v>194773</v>
      </c>
      <c r="B68" t="s">
        <v>54</v>
      </c>
      <c r="C68" t="s">
        <v>118</v>
      </c>
      <c r="D68">
        <v>2018</v>
      </c>
      <c r="E68" t="s">
        <v>67</v>
      </c>
      <c r="F68" t="s">
        <v>68</v>
      </c>
      <c r="G68">
        <v>11</v>
      </c>
      <c r="H68">
        <v>8</v>
      </c>
      <c r="I68">
        <v>110</v>
      </c>
      <c r="J68">
        <v>0.72699999999999998</v>
      </c>
      <c r="K68">
        <v>1</v>
      </c>
      <c r="L68">
        <v>1</v>
      </c>
      <c r="M68">
        <v>28</v>
      </c>
      <c r="N68">
        <v>118</v>
      </c>
      <c r="O68">
        <v>2</v>
      </c>
      <c r="P68">
        <v>2</v>
      </c>
      <c r="Q68">
        <v>0</v>
      </c>
      <c r="R68">
        <v>2</v>
      </c>
      <c r="AK68">
        <v>1</v>
      </c>
      <c r="AL68">
        <v>0</v>
      </c>
    </row>
    <row r="69" spans="1:38" x14ac:dyDescent="0.3">
      <c r="A69">
        <v>194773</v>
      </c>
      <c r="B69" t="s">
        <v>54</v>
      </c>
      <c r="C69" t="s">
        <v>118</v>
      </c>
      <c r="D69">
        <v>2019</v>
      </c>
      <c r="E69" t="s">
        <v>119</v>
      </c>
      <c r="F69" t="s">
        <v>120</v>
      </c>
      <c r="G69">
        <v>161</v>
      </c>
      <c r="H69">
        <v>97</v>
      </c>
      <c r="I69">
        <v>1155</v>
      </c>
      <c r="J69">
        <v>0.60199999999999998</v>
      </c>
      <c r="K69">
        <v>11</v>
      </c>
      <c r="L69">
        <v>5</v>
      </c>
      <c r="M69">
        <v>83</v>
      </c>
      <c r="N69">
        <v>381</v>
      </c>
      <c r="O69">
        <v>4</v>
      </c>
      <c r="S69">
        <v>0</v>
      </c>
      <c r="T69">
        <v>0</v>
      </c>
      <c r="U69">
        <v>0</v>
      </c>
      <c r="V69">
        <v>1</v>
      </c>
      <c r="W69">
        <v>2</v>
      </c>
      <c r="X69">
        <v>0</v>
      </c>
      <c r="Z69">
        <v>0</v>
      </c>
      <c r="AK69">
        <v>4</v>
      </c>
      <c r="AL69">
        <v>3</v>
      </c>
    </row>
    <row r="70" spans="1:38" x14ac:dyDescent="0.3">
      <c r="A70">
        <v>194799</v>
      </c>
      <c r="B70" t="s">
        <v>100</v>
      </c>
      <c r="C70" t="s">
        <v>121</v>
      </c>
      <c r="D70">
        <v>2019</v>
      </c>
      <c r="E70" t="s">
        <v>122</v>
      </c>
      <c r="F70" t="s">
        <v>123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Z70">
        <v>0</v>
      </c>
    </row>
    <row r="71" spans="1:38" x14ac:dyDescent="0.3">
      <c r="A71">
        <v>194844</v>
      </c>
      <c r="B71" t="s">
        <v>42</v>
      </c>
      <c r="C71" t="s">
        <v>124</v>
      </c>
      <c r="D71">
        <v>2017</v>
      </c>
      <c r="E71" t="s">
        <v>125</v>
      </c>
      <c r="F71" t="s">
        <v>126</v>
      </c>
      <c r="S71">
        <v>4</v>
      </c>
      <c r="T71">
        <v>0</v>
      </c>
      <c r="U71">
        <v>0</v>
      </c>
      <c r="V71">
        <v>29</v>
      </c>
      <c r="W71">
        <v>46</v>
      </c>
      <c r="X71">
        <v>0</v>
      </c>
      <c r="Y71">
        <v>5</v>
      </c>
      <c r="Z71">
        <v>0</v>
      </c>
      <c r="AK71">
        <v>0</v>
      </c>
      <c r="AL71">
        <v>0</v>
      </c>
    </row>
    <row r="72" spans="1:38" x14ac:dyDescent="0.3">
      <c r="A72">
        <v>194844</v>
      </c>
      <c r="B72" t="s">
        <v>42</v>
      </c>
      <c r="C72" t="s">
        <v>124</v>
      </c>
      <c r="D72">
        <v>2018</v>
      </c>
      <c r="E72" t="s">
        <v>125</v>
      </c>
      <c r="F72" t="s">
        <v>126</v>
      </c>
      <c r="S72">
        <v>2</v>
      </c>
      <c r="T72">
        <v>0</v>
      </c>
      <c r="U72">
        <v>0</v>
      </c>
      <c r="V72">
        <v>29</v>
      </c>
      <c r="W72">
        <v>59</v>
      </c>
      <c r="X72">
        <v>0</v>
      </c>
      <c r="Y72">
        <v>2</v>
      </c>
      <c r="Z72">
        <v>0</v>
      </c>
    </row>
    <row r="73" spans="1:38" x14ac:dyDescent="0.3">
      <c r="A73">
        <v>194844</v>
      </c>
      <c r="B73" t="s">
        <v>42</v>
      </c>
      <c r="C73" t="s">
        <v>124</v>
      </c>
      <c r="D73">
        <v>2019</v>
      </c>
      <c r="E73" t="s">
        <v>125</v>
      </c>
      <c r="F73" t="s">
        <v>126</v>
      </c>
      <c r="S73">
        <v>2</v>
      </c>
      <c r="T73">
        <v>0</v>
      </c>
      <c r="U73">
        <v>0</v>
      </c>
      <c r="V73">
        <v>39</v>
      </c>
      <c r="W73">
        <v>55</v>
      </c>
      <c r="X73">
        <v>0.5</v>
      </c>
      <c r="Y73">
        <v>1</v>
      </c>
      <c r="Z73">
        <v>0</v>
      </c>
      <c r="AK73">
        <v>0</v>
      </c>
      <c r="AL73">
        <v>0</v>
      </c>
    </row>
    <row r="74" spans="1:38" x14ac:dyDescent="0.3">
      <c r="A74">
        <v>194854</v>
      </c>
      <c r="B74" t="s">
        <v>100</v>
      </c>
      <c r="C74" t="s">
        <v>127</v>
      </c>
      <c r="D74">
        <v>2017</v>
      </c>
      <c r="E74" t="s">
        <v>125</v>
      </c>
      <c r="F74" t="s">
        <v>126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Z74">
        <v>0</v>
      </c>
    </row>
    <row r="75" spans="1:38" x14ac:dyDescent="0.3">
      <c r="A75">
        <v>194868</v>
      </c>
      <c r="B75" t="s">
        <v>38</v>
      </c>
      <c r="C75" t="s">
        <v>128</v>
      </c>
      <c r="D75">
        <v>2017</v>
      </c>
      <c r="E75" t="s">
        <v>125</v>
      </c>
      <c r="F75" t="s">
        <v>126</v>
      </c>
      <c r="S75">
        <v>0</v>
      </c>
      <c r="T75">
        <v>7</v>
      </c>
      <c r="U75">
        <v>2.5</v>
      </c>
      <c r="V75">
        <v>13</v>
      </c>
      <c r="W75">
        <v>31</v>
      </c>
      <c r="X75">
        <v>6</v>
      </c>
      <c r="Z75">
        <v>0</v>
      </c>
    </row>
    <row r="76" spans="1:38" x14ac:dyDescent="0.3">
      <c r="A76">
        <v>194868</v>
      </c>
      <c r="B76" t="s">
        <v>38</v>
      </c>
      <c r="C76" t="s">
        <v>128</v>
      </c>
      <c r="D76">
        <v>2018</v>
      </c>
      <c r="E76" t="s">
        <v>125</v>
      </c>
      <c r="F76" t="s">
        <v>126</v>
      </c>
      <c r="S76">
        <v>5</v>
      </c>
      <c r="T76">
        <v>3</v>
      </c>
      <c r="U76">
        <v>2</v>
      </c>
      <c r="V76">
        <v>17</v>
      </c>
      <c r="W76">
        <v>49</v>
      </c>
      <c r="X76">
        <v>10.5</v>
      </c>
      <c r="Z76">
        <v>0</v>
      </c>
    </row>
    <row r="77" spans="1:38" x14ac:dyDescent="0.3">
      <c r="A77">
        <v>194868</v>
      </c>
      <c r="B77" t="s">
        <v>38</v>
      </c>
      <c r="C77" t="s">
        <v>128</v>
      </c>
      <c r="D77">
        <v>2019</v>
      </c>
      <c r="E77" t="s">
        <v>125</v>
      </c>
      <c r="F77" t="s">
        <v>126</v>
      </c>
      <c r="S77">
        <v>2</v>
      </c>
      <c r="T77">
        <v>7</v>
      </c>
      <c r="U77">
        <v>5</v>
      </c>
      <c r="V77">
        <v>17</v>
      </c>
      <c r="W77">
        <v>48</v>
      </c>
      <c r="X77">
        <v>7.5</v>
      </c>
      <c r="Z77">
        <v>0</v>
      </c>
    </row>
    <row r="78" spans="1:38" x14ac:dyDescent="0.3">
      <c r="A78">
        <v>194907</v>
      </c>
      <c r="B78" t="s">
        <v>69</v>
      </c>
      <c r="C78" t="s">
        <v>129</v>
      </c>
      <c r="D78">
        <v>2017</v>
      </c>
      <c r="E78" t="s">
        <v>130</v>
      </c>
      <c r="F78" t="s">
        <v>131</v>
      </c>
      <c r="S78">
        <v>1</v>
      </c>
      <c r="T78">
        <v>4</v>
      </c>
      <c r="U78">
        <v>2</v>
      </c>
      <c r="V78">
        <v>23</v>
      </c>
      <c r="W78">
        <v>30</v>
      </c>
      <c r="X78">
        <v>5</v>
      </c>
      <c r="Z78">
        <v>0</v>
      </c>
      <c r="AK78">
        <v>0</v>
      </c>
      <c r="AL78">
        <v>0</v>
      </c>
    </row>
    <row r="79" spans="1:38" x14ac:dyDescent="0.3">
      <c r="A79">
        <v>194907</v>
      </c>
      <c r="B79" t="s">
        <v>69</v>
      </c>
      <c r="C79" t="s">
        <v>129</v>
      </c>
      <c r="D79">
        <v>2018</v>
      </c>
      <c r="E79" t="s">
        <v>130</v>
      </c>
      <c r="F79" t="s">
        <v>131</v>
      </c>
      <c r="S79">
        <v>2</v>
      </c>
      <c r="T79">
        <v>7</v>
      </c>
      <c r="U79">
        <v>7</v>
      </c>
      <c r="V79">
        <v>32</v>
      </c>
      <c r="W79">
        <v>45</v>
      </c>
      <c r="X79">
        <v>15.5</v>
      </c>
      <c r="Z79">
        <v>0</v>
      </c>
      <c r="AA79">
        <v>6</v>
      </c>
      <c r="AB79">
        <v>6</v>
      </c>
      <c r="AC79">
        <v>1</v>
      </c>
      <c r="AD79">
        <v>0</v>
      </c>
      <c r="AE79">
        <v>6</v>
      </c>
    </row>
    <row r="80" spans="1:38" x14ac:dyDescent="0.3">
      <c r="A80">
        <v>194907</v>
      </c>
      <c r="B80" t="s">
        <v>69</v>
      </c>
      <c r="C80" t="s">
        <v>129</v>
      </c>
      <c r="D80">
        <v>2019</v>
      </c>
      <c r="E80" t="s">
        <v>130</v>
      </c>
      <c r="F80" t="s">
        <v>131</v>
      </c>
      <c r="S80">
        <v>0</v>
      </c>
      <c r="T80">
        <v>16</v>
      </c>
      <c r="U80">
        <v>6.5</v>
      </c>
      <c r="V80">
        <v>33</v>
      </c>
      <c r="W80">
        <v>52</v>
      </c>
      <c r="X80">
        <v>15.5</v>
      </c>
      <c r="Z80">
        <v>0</v>
      </c>
      <c r="AK80">
        <v>0</v>
      </c>
      <c r="AL80">
        <v>0</v>
      </c>
    </row>
    <row r="81" spans="1:38" x14ac:dyDescent="0.3">
      <c r="A81">
        <v>194962</v>
      </c>
      <c r="B81" t="s">
        <v>69</v>
      </c>
      <c r="C81" t="s">
        <v>132</v>
      </c>
      <c r="D81">
        <v>2017</v>
      </c>
      <c r="E81" t="s">
        <v>133</v>
      </c>
      <c r="F81" t="s">
        <v>134</v>
      </c>
      <c r="S81">
        <v>0</v>
      </c>
      <c r="T81">
        <v>5</v>
      </c>
      <c r="U81">
        <v>4</v>
      </c>
      <c r="V81">
        <v>31</v>
      </c>
      <c r="W81">
        <v>54</v>
      </c>
      <c r="X81">
        <v>8.5</v>
      </c>
      <c r="Z81">
        <v>0</v>
      </c>
      <c r="AK81">
        <v>0</v>
      </c>
      <c r="AL81">
        <v>0</v>
      </c>
    </row>
    <row r="82" spans="1:38" x14ac:dyDescent="0.3">
      <c r="A82">
        <v>194962</v>
      </c>
      <c r="B82" t="s">
        <v>69</v>
      </c>
      <c r="C82" t="s">
        <v>132</v>
      </c>
      <c r="D82">
        <v>2018</v>
      </c>
      <c r="E82" t="s">
        <v>133</v>
      </c>
      <c r="F82" t="s">
        <v>134</v>
      </c>
      <c r="S82">
        <v>1</v>
      </c>
      <c r="T82">
        <v>6</v>
      </c>
      <c r="U82">
        <v>8.5</v>
      </c>
      <c r="V82">
        <v>36</v>
      </c>
      <c r="W82">
        <v>65</v>
      </c>
      <c r="X82">
        <v>14</v>
      </c>
      <c r="Z82">
        <v>1</v>
      </c>
      <c r="AK82">
        <v>0</v>
      </c>
      <c r="AL82">
        <v>0</v>
      </c>
    </row>
    <row r="83" spans="1:38" x14ac:dyDescent="0.3">
      <c r="A83">
        <v>194962</v>
      </c>
      <c r="B83" t="s">
        <v>69</v>
      </c>
      <c r="C83" t="s">
        <v>132</v>
      </c>
      <c r="D83">
        <v>2019</v>
      </c>
      <c r="E83" t="s">
        <v>95</v>
      </c>
      <c r="F83" t="s">
        <v>96</v>
      </c>
      <c r="S83">
        <v>0</v>
      </c>
      <c r="T83">
        <v>2</v>
      </c>
      <c r="U83">
        <v>3</v>
      </c>
      <c r="V83">
        <v>20</v>
      </c>
      <c r="W83">
        <v>38</v>
      </c>
      <c r="X83">
        <v>3</v>
      </c>
      <c r="Z83">
        <v>0</v>
      </c>
    </row>
    <row r="84" spans="1:38" x14ac:dyDescent="0.3">
      <c r="A84">
        <v>195047</v>
      </c>
      <c r="B84" t="s">
        <v>38</v>
      </c>
      <c r="C84" t="s">
        <v>135</v>
      </c>
      <c r="D84">
        <v>2017</v>
      </c>
      <c r="E84" t="s">
        <v>136</v>
      </c>
      <c r="F84" t="s">
        <v>137</v>
      </c>
      <c r="S84">
        <v>0</v>
      </c>
      <c r="T84">
        <v>0</v>
      </c>
      <c r="U84">
        <v>0.5</v>
      </c>
      <c r="V84">
        <v>16</v>
      </c>
      <c r="W84">
        <v>31</v>
      </c>
      <c r="X84">
        <v>3</v>
      </c>
      <c r="Z84">
        <v>0</v>
      </c>
    </row>
    <row r="85" spans="1:38" x14ac:dyDescent="0.3">
      <c r="A85">
        <v>195047</v>
      </c>
      <c r="B85" t="s">
        <v>38</v>
      </c>
      <c r="C85" t="s">
        <v>135</v>
      </c>
      <c r="D85">
        <v>2018</v>
      </c>
      <c r="E85" t="s">
        <v>136</v>
      </c>
      <c r="F85" t="s">
        <v>137</v>
      </c>
      <c r="S85">
        <v>0</v>
      </c>
      <c r="T85">
        <v>0</v>
      </c>
      <c r="U85">
        <v>1.5</v>
      </c>
      <c r="V85">
        <v>15</v>
      </c>
      <c r="W85">
        <v>30</v>
      </c>
      <c r="X85">
        <v>3</v>
      </c>
      <c r="Z85">
        <v>0</v>
      </c>
    </row>
    <row r="86" spans="1:38" x14ac:dyDescent="0.3">
      <c r="A86">
        <v>195047</v>
      </c>
      <c r="B86" t="s">
        <v>38</v>
      </c>
      <c r="C86" t="s">
        <v>135</v>
      </c>
      <c r="D86">
        <v>2019</v>
      </c>
      <c r="E86" t="s">
        <v>136</v>
      </c>
      <c r="F86" t="s">
        <v>137</v>
      </c>
      <c r="S86">
        <v>0</v>
      </c>
      <c r="T86">
        <v>7</v>
      </c>
      <c r="U86">
        <v>5.5</v>
      </c>
      <c r="V86">
        <v>35</v>
      </c>
      <c r="W86">
        <v>61</v>
      </c>
      <c r="X86">
        <v>13</v>
      </c>
      <c r="Z86">
        <v>0</v>
      </c>
    </row>
    <row r="87" spans="1:38" x14ac:dyDescent="0.3">
      <c r="A87">
        <v>195160</v>
      </c>
      <c r="B87" t="s">
        <v>50</v>
      </c>
      <c r="C87" t="s">
        <v>138</v>
      </c>
      <c r="D87">
        <v>2017</v>
      </c>
      <c r="E87" t="s">
        <v>139</v>
      </c>
      <c r="F87" t="s">
        <v>140</v>
      </c>
      <c r="S87">
        <v>3</v>
      </c>
      <c r="T87">
        <v>1</v>
      </c>
      <c r="U87">
        <v>0</v>
      </c>
      <c r="V87">
        <v>21</v>
      </c>
      <c r="W87">
        <v>25</v>
      </c>
      <c r="X87">
        <v>2</v>
      </c>
      <c r="Y87">
        <v>1</v>
      </c>
      <c r="Z87">
        <v>0</v>
      </c>
    </row>
    <row r="88" spans="1:38" x14ac:dyDescent="0.3">
      <c r="A88">
        <v>195160</v>
      </c>
      <c r="B88" t="s">
        <v>50</v>
      </c>
      <c r="C88" t="s">
        <v>138</v>
      </c>
      <c r="D88">
        <v>2018</v>
      </c>
      <c r="E88" t="s">
        <v>139</v>
      </c>
      <c r="F88" t="s">
        <v>140</v>
      </c>
      <c r="S88">
        <v>13</v>
      </c>
      <c r="T88">
        <v>1</v>
      </c>
      <c r="U88">
        <v>1</v>
      </c>
      <c r="V88">
        <v>38</v>
      </c>
      <c r="W88">
        <v>46</v>
      </c>
      <c r="X88">
        <v>4</v>
      </c>
      <c r="Y88">
        <v>2</v>
      </c>
      <c r="Z88">
        <v>0</v>
      </c>
      <c r="AK88">
        <v>0</v>
      </c>
      <c r="AL88">
        <v>0</v>
      </c>
    </row>
    <row r="89" spans="1:38" x14ac:dyDescent="0.3">
      <c r="A89">
        <v>195160</v>
      </c>
      <c r="B89" t="s">
        <v>50</v>
      </c>
      <c r="C89" t="s">
        <v>138</v>
      </c>
      <c r="D89">
        <v>2019</v>
      </c>
      <c r="E89" t="s">
        <v>139</v>
      </c>
      <c r="F89" t="s">
        <v>140</v>
      </c>
      <c r="S89">
        <v>11</v>
      </c>
      <c r="T89">
        <v>0</v>
      </c>
      <c r="U89">
        <v>0</v>
      </c>
      <c r="V89">
        <v>20</v>
      </c>
      <c r="W89">
        <v>20</v>
      </c>
      <c r="X89">
        <v>1</v>
      </c>
      <c r="Y89">
        <v>2</v>
      </c>
      <c r="Z89">
        <v>1</v>
      </c>
    </row>
    <row r="90" spans="1:38" x14ac:dyDescent="0.3">
      <c r="A90">
        <v>195166</v>
      </c>
      <c r="B90" t="s">
        <v>76</v>
      </c>
      <c r="C90" t="s">
        <v>141</v>
      </c>
      <c r="D90">
        <v>2017</v>
      </c>
      <c r="E90" t="s">
        <v>139</v>
      </c>
      <c r="F90" t="s">
        <v>140</v>
      </c>
      <c r="M90">
        <v>122</v>
      </c>
      <c r="N90">
        <v>790</v>
      </c>
      <c r="O90">
        <v>10</v>
      </c>
      <c r="P90">
        <v>25</v>
      </c>
      <c r="Q90">
        <v>1</v>
      </c>
      <c r="R90">
        <v>169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Z90">
        <v>0</v>
      </c>
      <c r="AA90">
        <v>15</v>
      </c>
      <c r="AB90">
        <v>19</v>
      </c>
      <c r="AC90">
        <v>5</v>
      </c>
      <c r="AD90">
        <v>0</v>
      </c>
      <c r="AE90">
        <v>75</v>
      </c>
    </row>
    <row r="91" spans="1:38" x14ac:dyDescent="0.3">
      <c r="A91">
        <v>195166</v>
      </c>
      <c r="B91" t="s">
        <v>76</v>
      </c>
      <c r="C91" t="s">
        <v>141</v>
      </c>
      <c r="D91">
        <v>2018</v>
      </c>
      <c r="E91" t="s">
        <v>139</v>
      </c>
      <c r="F91" t="s">
        <v>140</v>
      </c>
      <c r="M91">
        <v>147</v>
      </c>
      <c r="N91">
        <v>715</v>
      </c>
      <c r="O91">
        <v>4</v>
      </c>
      <c r="P91">
        <v>19</v>
      </c>
      <c r="Q91">
        <v>4</v>
      </c>
      <c r="R91">
        <v>377</v>
      </c>
      <c r="S91">
        <v>0</v>
      </c>
      <c r="T91">
        <v>0</v>
      </c>
      <c r="U91">
        <v>0</v>
      </c>
      <c r="V91">
        <v>1</v>
      </c>
      <c r="W91">
        <v>1</v>
      </c>
      <c r="X91">
        <v>0</v>
      </c>
      <c r="Z91">
        <v>0</v>
      </c>
      <c r="AA91">
        <v>21.1</v>
      </c>
      <c r="AB91">
        <v>44</v>
      </c>
      <c r="AC91">
        <v>14</v>
      </c>
      <c r="AD91">
        <v>0</v>
      </c>
      <c r="AE91">
        <v>296</v>
      </c>
    </row>
    <row r="92" spans="1:38" x14ac:dyDescent="0.3">
      <c r="A92">
        <v>195166</v>
      </c>
      <c r="B92" t="s">
        <v>76</v>
      </c>
      <c r="C92" t="s">
        <v>141</v>
      </c>
      <c r="D92">
        <v>2019</v>
      </c>
      <c r="E92" t="s">
        <v>139</v>
      </c>
      <c r="F92" t="s">
        <v>140</v>
      </c>
      <c r="M92">
        <v>87</v>
      </c>
      <c r="N92">
        <v>629</v>
      </c>
      <c r="O92">
        <v>7</v>
      </c>
      <c r="P92">
        <v>8</v>
      </c>
      <c r="Q92">
        <v>1</v>
      </c>
      <c r="R92">
        <v>120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Z92">
        <v>0</v>
      </c>
      <c r="AA92">
        <v>17.2</v>
      </c>
      <c r="AB92">
        <v>45</v>
      </c>
      <c r="AC92">
        <v>12</v>
      </c>
      <c r="AD92">
        <v>0</v>
      </c>
      <c r="AE92">
        <v>206</v>
      </c>
      <c r="AK92">
        <v>2</v>
      </c>
      <c r="AL92">
        <v>1</v>
      </c>
    </row>
    <row r="93" spans="1:38" x14ac:dyDescent="0.3">
      <c r="A93">
        <v>195189</v>
      </c>
      <c r="B93" t="s">
        <v>142</v>
      </c>
      <c r="C93" t="s">
        <v>143</v>
      </c>
      <c r="D93">
        <v>2017</v>
      </c>
      <c r="E93" t="s">
        <v>78</v>
      </c>
      <c r="F93" t="s">
        <v>79</v>
      </c>
      <c r="P93">
        <v>12</v>
      </c>
      <c r="Q93">
        <v>0</v>
      </c>
      <c r="R93">
        <v>80</v>
      </c>
      <c r="S93">
        <v>0</v>
      </c>
      <c r="T93">
        <v>0</v>
      </c>
      <c r="U93">
        <v>0</v>
      </c>
      <c r="V93">
        <v>2</v>
      </c>
      <c r="W93">
        <v>2</v>
      </c>
      <c r="X93">
        <v>0</v>
      </c>
      <c r="Z93">
        <v>0</v>
      </c>
      <c r="AK93">
        <v>2</v>
      </c>
      <c r="AL93">
        <v>1</v>
      </c>
    </row>
    <row r="94" spans="1:38" x14ac:dyDescent="0.3">
      <c r="A94">
        <v>195189</v>
      </c>
      <c r="B94" t="s">
        <v>142</v>
      </c>
      <c r="C94" t="s">
        <v>143</v>
      </c>
      <c r="D94">
        <v>2018</v>
      </c>
      <c r="E94" t="s">
        <v>78</v>
      </c>
      <c r="F94" t="s">
        <v>79</v>
      </c>
      <c r="P94">
        <v>35</v>
      </c>
      <c r="Q94">
        <v>3</v>
      </c>
      <c r="R94">
        <v>392</v>
      </c>
      <c r="AK94">
        <v>1</v>
      </c>
      <c r="AL94">
        <v>0</v>
      </c>
    </row>
    <row r="95" spans="1:38" x14ac:dyDescent="0.3">
      <c r="A95">
        <v>195189</v>
      </c>
      <c r="B95" t="s">
        <v>142</v>
      </c>
      <c r="C95" t="s">
        <v>143</v>
      </c>
      <c r="D95">
        <v>2019</v>
      </c>
      <c r="E95" t="s">
        <v>78</v>
      </c>
      <c r="F95" t="s">
        <v>79</v>
      </c>
      <c r="P95">
        <v>51</v>
      </c>
      <c r="Q95">
        <v>8</v>
      </c>
      <c r="R95">
        <v>642</v>
      </c>
      <c r="S95">
        <v>0</v>
      </c>
      <c r="T95">
        <v>0</v>
      </c>
      <c r="U95">
        <v>0</v>
      </c>
      <c r="V95">
        <v>2</v>
      </c>
      <c r="W95">
        <v>3</v>
      </c>
      <c r="X95">
        <v>0</v>
      </c>
      <c r="Z95">
        <v>0</v>
      </c>
    </row>
    <row r="96" spans="1:38" x14ac:dyDescent="0.3">
      <c r="A96">
        <v>195255</v>
      </c>
      <c r="B96" t="s">
        <v>38</v>
      </c>
      <c r="C96" t="s">
        <v>144</v>
      </c>
      <c r="D96">
        <v>2017</v>
      </c>
      <c r="E96" t="s">
        <v>145</v>
      </c>
      <c r="F96" t="s">
        <v>146</v>
      </c>
      <c r="S96">
        <v>3</v>
      </c>
      <c r="T96">
        <v>3</v>
      </c>
      <c r="U96">
        <v>2.5</v>
      </c>
      <c r="V96">
        <v>15</v>
      </c>
      <c r="W96">
        <v>37</v>
      </c>
      <c r="X96">
        <v>7.5</v>
      </c>
      <c r="Z96">
        <v>0</v>
      </c>
    </row>
    <row r="97" spans="1:38" x14ac:dyDescent="0.3">
      <c r="A97">
        <v>195255</v>
      </c>
      <c r="B97" t="s">
        <v>38</v>
      </c>
      <c r="C97" t="s">
        <v>144</v>
      </c>
      <c r="D97">
        <v>2018</v>
      </c>
      <c r="E97" t="s">
        <v>145</v>
      </c>
      <c r="F97" t="s">
        <v>146</v>
      </c>
      <c r="P97">
        <v>1</v>
      </c>
      <c r="Q97">
        <v>0</v>
      </c>
      <c r="R97">
        <v>11</v>
      </c>
      <c r="S97">
        <v>1</v>
      </c>
      <c r="T97">
        <v>11</v>
      </c>
      <c r="U97">
        <v>4.5</v>
      </c>
      <c r="V97">
        <v>19</v>
      </c>
      <c r="W97">
        <v>45</v>
      </c>
      <c r="X97">
        <v>10</v>
      </c>
      <c r="Z97">
        <v>0</v>
      </c>
      <c r="AK97">
        <v>0</v>
      </c>
      <c r="AL97">
        <v>0</v>
      </c>
    </row>
    <row r="98" spans="1:38" x14ac:dyDescent="0.3">
      <c r="A98">
        <v>195255</v>
      </c>
      <c r="B98" t="s">
        <v>38</v>
      </c>
      <c r="C98" t="s">
        <v>144</v>
      </c>
      <c r="D98">
        <v>2019</v>
      </c>
      <c r="E98" t="s">
        <v>145</v>
      </c>
      <c r="F98" t="s">
        <v>146</v>
      </c>
      <c r="S98">
        <v>0</v>
      </c>
      <c r="T98">
        <v>3</v>
      </c>
      <c r="U98">
        <v>5</v>
      </c>
      <c r="V98">
        <v>20</v>
      </c>
      <c r="W98">
        <v>39</v>
      </c>
      <c r="X98">
        <v>8.5</v>
      </c>
      <c r="Z98">
        <v>0</v>
      </c>
      <c r="AK98">
        <v>0</v>
      </c>
      <c r="AL98">
        <v>0</v>
      </c>
    </row>
    <row r="99" spans="1:38" x14ac:dyDescent="0.3">
      <c r="A99">
        <v>195293</v>
      </c>
      <c r="B99" t="s">
        <v>46</v>
      </c>
      <c r="C99" t="s">
        <v>147</v>
      </c>
      <c r="D99">
        <v>2017</v>
      </c>
      <c r="E99" t="s">
        <v>148</v>
      </c>
      <c r="F99" t="s">
        <v>149</v>
      </c>
      <c r="P99">
        <v>18</v>
      </c>
      <c r="Q99">
        <v>0</v>
      </c>
      <c r="R99">
        <v>246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Z99">
        <v>0</v>
      </c>
    </row>
    <row r="100" spans="1:38" x14ac:dyDescent="0.3">
      <c r="A100">
        <v>195293</v>
      </c>
      <c r="B100" t="s">
        <v>46</v>
      </c>
      <c r="C100" t="s">
        <v>147</v>
      </c>
      <c r="D100">
        <v>2018</v>
      </c>
      <c r="E100" t="s">
        <v>148</v>
      </c>
      <c r="F100" t="s">
        <v>149</v>
      </c>
      <c r="M100">
        <v>2</v>
      </c>
      <c r="N100">
        <v>32</v>
      </c>
      <c r="O100">
        <v>1</v>
      </c>
      <c r="P100">
        <v>28</v>
      </c>
      <c r="Q100">
        <v>4</v>
      </c>
      <c r="R100">
        <v>369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Z100">
        <v>0</v>
      </c>
      <c r="AK100">
        <v>0</v>
      </c>
      <c r="AL100">
        <v>0</v>
      </c>
    </row>
    <row r="101" spans="1:38" x14ac:dyDescent="0.3">
      <c r="A101">
        <v>195293</v>
      </c>
      <c r="B101" t="s">
        <v>46</v>
      </c>
      <c r="C101" t="s">
        <v>147</v>
      </c>
      <c r="D101">
        <v>2019</v>
      </c>
      <c r="E101" t="s">
        <v>148</v>
      </c>
      <c r="F101" t="s">
        <v>149</v>
      </c>
      <c r="M101">
        <v>6</v>
      </c>
      <c r="N101">
        <v>101</v>
      </c>
      <c r="O101">
        <v>1</v>
      </c>
      <c r="P101">
        <v>27</v>
      </c>
      <c r="Q101">
        <v>2</v>
      </c>
      <c r="R101">
        <v>346</v>
      </c>
      <c r="S101">
        <v>0</v>
      </c>
      <c r="T101">
        <v>0</v>
      </c>
      <c r="U101">
        <v>0</v>
      </c>
      <c r="V101">
        <v>1</v>
      </c>
      <c r="W101">
        <v>2</v>
      </c>
      <c r="X101">
        <v>0</v>
      </c>
      <c r="Z101">
        <v>0</v>
      </c>
    </row>
    <row r="102" spans="1:38" x14ac:dyDescent="0.3">
      <c r="A102">
        <v>195298</v>
      </c>
      <c r="B102" t="s">
        <v>46</v>
      </c>
      <c r="C102" t="s">
        <v>150</v>
      </c>
      <c r="D102">
        <v>2017</v>
      </c>
      <c r="E102" t="s">
        <v>148</v>
      </c>
      <c r="F102" t="s">
        <v>149</v>
      </c>
      <c r="P102">
        <v>8</v>
      </c>
      <c r="Q102">
        <v>1</v>
      </c>
      <c r="R102">
        <v>96</v>
      </c>
      <c r="AF102">
        <v>13.5</v>
      </c>
      <c r="AG102">
        <v>17</v>
      </c>
      <c r="AH102">
        <v>2</v>
      </c>
      <c r="AI102">
        <v>0</v>
      </c>
      <c r="AJ102">
        <v>27</v>
      </c>
    </row>
    <row r="103" spans="1:38" x14ac:dyDescent="0.3">
      <c r="A103">
        <v>195298</v>
      </c>
      <c r="B103" t="s">
        <v>46</v>
      </c>
      <c r="C103" t="s">
        <v>150</v>
      </c>
      <c r="D103">
        <v>2018</v>
      </c>
      <c r="E103" t="s">
        <v>148</v>
      </c>
      <c r="F103" t="s">
        <v>149</v>
      </c>
      <c r="P103">
        <v>15</v>
      </c>
      <c r="Q103">
        <v>5</v>
      </c>
      <c r="R103">
        <v>271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1</v>
      </c>
      <c r="AA103">
        <v>6</v>
      </c>
      <c r="AB103">
        <v>6</v>
      </c>
      <c r="AC103">
        <v>1</v>
      </c>
      <c r="AD103">
        <v>0</v>
      </c>
      <c r="AE103">
        <v>6</v>
      </c>
      <c r="AF103">
        <v>9.6999999999999993</v>
      </c>
      <c r="AG103">
        <v>85</v>
      </c>
      <c r="AH103">
        <v>23</v>
      </c>
      <c r="AI103">
        <v>1</v>
      </c>
      <c r="AJ103">
        <v>224</v>
      </c>
    </row>
    <row r="104" spans="1:38" x14ac:dyDescent="0.3">
      <c r="A104">
        <v>195298</v>
      </c>
      <c r="B104" t="s">
        <v>46</v>
      </c>
      <c r="C104" t="s">
        <v>150</v>
      </c>
      <c r="D104">
        <v>2019</v>
      </c>
      <c r="E104" t="s">
        <v>148</v>
      </c>
      <c r="F104" t="s">
        <v>149</v>
      </c>
      <c r="M104">
        <v>4</v>
      </c>
      <c r="N104">
        <v>27</v>
      </c>
      <c r="O104">
        <v>0</v>
      </c>
      <c r="P104">
        <v>38</v>
      </c>
      <c r="Q104">
        <v>7</v>
      </c>
      <c r="R104">
        <v>517</v>
      </c>
      <c r="S104">
        <v>0</v>
      </c>
      <c r="T104">
        <v>0</v>
      </c>
      <c r="U104">
        <v>0</v>
      </c>
      <c r="V104">
        <v>2</v>
      </c>
      <c r="W104">
        <v>2</v>
      </c>
      <c r="X104">
        <v>0</v>
      </c>
      <c r="Z104">
        <v>0</v>
      </c>
      <c r="AA104">
        <v>13</v>
      </c>
      <c r="AB104">
        <v>23</v>
      </c>
      <c r="AC104">
        <v>3</v>
      </c>
      <c r="AD104">
        <v>0</v>
      </c>
      <c r="AE104">
        <v>39</v>
      </c>
      <c r="AF104">
        <v>4</v>
      </c>
      <c r="AG104">
        <v>10</v>
      </c>
      <c r="AH104">
        <v>14</v>
      </c>
      <c r="AI104">
        <v>0</v>
      </c>
      <c r="AJ104">
        <v>56</v>
      </c>
      <c r="AK104">
        <v>1</v>
      </c>
      <c r="AL104">
        <v>0</v>
      </c>
    </row>
    <row r="105" spans="1:38" x14ac:dyDescent="0.3">
      <c r="A105">
        <v>195351</v>
      </c>
      <c r="B105" t="s">
        <v>76</v>
      </c>
      <c r="C105" t="s">
        <v>151</v>
      </c>
      <c r="D105">
        <v>2017</v>
      </c>
      <c r="E105" t="s">
        <v>152</v>
      </c>
      <c r="F105" t="s">
        <v>153</v>
      </c>
      <c r="M105">
        <v>18</v>
      </c>
      <c r="N105">
        <v>78</v>
      </c>
      <c r="O105">
        <v>0</v>
      </c>
      <c r="P105">
        <v>9</v>
      </c>
      <c r="Q105">
        <v>0</v>
      </c>
      <c r="R105">
        <v>27</v>
      </c>
    </row>
    <row r="106" spans="1:38" x14ac:dyDescent="0.3">
      <c r="A106">
        <v>195351</v>
      </c>
      <c r="B106" t="s">
        <v>76</v>
      </c>
      <c r="C106" t="s">
        <v>151</v>
      </c>
      <c r="D106">
        <v>2018</v>
      </c>
      <c r="E106" t="s">
        <v>152</v>
      </c>
      <c r="F106" t="s">
        <v>153</v>
      </c>
      <c r="M106">
        <v>128</v>
      </c>
      <c r="N106">
        <v>1085</v>
      </c>
      <c r="O106">
        <v>9</v>
      </c>
      <c r="P106">
        <v>16</v>
      </c>
      <c r="Q106">
        <v>0</v>
      </c>
      <c r="R106">
        <v>176</v>
      </c>
      <c r="AK106">
        <v>3</v>
      </c>
      <c r="AL106">
        <v>3</v>
      </c>
    </row>
    <row r="107" spans="1:38" x14ac:dyDescent="0.3">
      <c r="A107">
        <v>195351</v>
      </c>
      <c r="B107" t="s">
        <v>76</v>
      </c>
      <c r="C107" t="s">
        <v>151</v>
      </c>
      <c r="D107">
        <v>2019</v>
      </c>
      <c r="E107" t="s">
        <v>152</v>
      </c>
      <c r="F107" t="s">
        <v>153</v>
      </c>
      <c r="M107">
        <v>143</v>
      </c>
      <c r="N107">
        <v>675</v>
      </c>
      <c r="O107">
        <v>7</v>
      </c>
      <c r="P107">
        <v>3</v>
      </c>
      <c r="Q107">
        <v>0</v>
      </c>
      <c r="R107">
        <v>28</v>
      </c>
    </row>
    <row r="108" spans="1:38" x14ac:dyDescent="0.3">
      <c r="A108">
        <v>195357</v>
      </c>
      <c r="B108" t="s">
        <v>84</v>
      </c>
      <c r="C108" t="s">
        <v>154</v>
      </c>
      <c r="D108">
        <v>2017</v>
      </c>
      <c r="E108" t="s">
        <v>152</v>
      </c>
      <c r="F108" t="s">
        <v>153</v>
      </c>
      <c r="S108">
        <v>0</v>
      </c>
      <c r="T108">
        <v>0</v>
      </c>
      <c r="U108">
        <v>0</v>
      </c>
      <c r="V108">
        <v>17</v>
      </c>
      <c r="W108">
        <v>32</v>
      </c>
      <c r="X108">
        <v>0</v>
      </c>
      <c r="Z108">
        <v>0</v>
      </c>
    </row>
    <row r="109" spans="1:38" x14ac:dyDescent="0.3">
      <c r="A109">
        <v>195357</v>
      </c>
      <c r="B109" t="s">
        <v>84</v>
      </c>
      <c r="C109" t="s">
        <v>154</v>
      </c>
      <c r="D109">
        <v>2018</v>
      </c>
      <c r="E109" t="s">
        <v>152</v>
      </c>
      <c r="F109" t="s">
        <v>153</v>
      </c>
      <c r="P109">
        <v>2</v>
      </c>
      <c r="Q109">
        <v>0</v>
      </c>
      <c r="R109">
        <v>12</v>
      </c>
      <c r="S109">
        <v>0</v>
      </c>
      <c r="T109">
        <v>0</v>
      </c>
      <c r="U109">
        <v>1</v>
      </c>
      <c r="V109">
        <v>21</v>
      </c>
      <c r="W109">
        <v>37</v>
      </c>
      <c r="X109">
        <v>5.5</v>
      </c>
      <c r="Z109">
        <v>0</v>
      </c>
    </row>
    <row r="110" spans="1:38" x14ac:dyDescent="0.3">
      <c r="A110">
        <v>195357</v>
      </c>
      <c r="B110" t="s">
        <v>84</v>
      </c>
      <c r="C110" t="s">
        <v>154</v>
      </c>
      <c r="D110">
        <v>2019</v>
      </c>
      <c r="E110" t="s">
        <v>152</v>
      </c>
      <c r="F110" t="s">
        <v>153</v>
      </c>
      <c r="S110">
        <v>0</v>
      </c>
      <c r="T110">
        <v>2</v>
      </c>
      <c r="U110">
        <v>0</v>
      </c>
      <c r="V110">
        <v>66</v>
      </c>
      <c r="W110">
        <v>153</v>
      </c>
      <c r="X110">
        <v>14.5</v>
      </c>
      <c r="Y110">
        <v>3</v>
      </c>
      <c r="Z110">
        <v>2</v>
      </c>
      <c r="AK110">
        <v>0</v>
      </c>
      <c r="AL110">
        <v>0</v>
      </c>
    </row>
    <row r="111" spans="1:38" x14ac:dyDescent="0.3">
      <c r="A111">
        <v>195363</v>
      </c>
      <c r="B111" t="s">
        <v>42</v>
      </c>
      <c r="C111" t="s">
        <v>155</v>
      </c>
      <c r="D111">
        <v>2017</v>
      </c>
      <c r="E111" t="s">
        <v>152</v>
      </c>
      <c r="F111" t="s">
        <v>153</v>
      </c>
      <c r="S111">
        <v>2</v>
      </c>
      <c r="T111">
        <v>0</v>
      </c>
      <c r="U111">
        <v>0</v>
      </c>
      <c r="V111">
        <v>32</v>
      </c>
      <c r="W111">
        <v>65</v>
      </c>
      <c r="X111">
        <v>2.5</v>
      </c>
      <c r="Z111">
        <v>0</v>
      </c>
      <c r="AK111">
        <v>0</v>
      </c>
      <c r="AL111">
        <v>0</v>
      </c>
    </row>
    <row r="112" spans="1:38" x14ac:dyDescent="0.3">
      <c r="A112">
        <v>195363</v>
      </c>
      <c r="B112" t="s">
        <v>42</v>
      </c>
      <c r="C112" t="s">
        <v>155</v>
      </c>
      <c r="D112">
        <v>2018</v>
      </c>
      <c r="E112" t="s">
        <v>74</v>
      </c>
      <c r="F112" t="s">
        <v>75</v>
      </c>
      <c r="S112">
        <v>1</v>
      </c>
      <c r="T112">
        <v>1</v>
      </c>
      <c r="U112">
        <v>1.5</v>
      </c>
      <c r="V112">
        <v>32</v>
      </c>
      <c r="W112">
        <v>59</v>
      </c>
      <c r="X112">
        <v>6</v>
      </c>
      <c r="Y112">
        <v>2</v>
      </c>
      <c r="Z112">
        <v>0</v>
      </c>
    </row>
    <row r="113" spans="1:38" x14ac:dyDescent="0.3">
      <c r="A113">
        <v>195363</v>
      </c>
      <c r="B113" t="s">
        <v>42</v>
      </c>
      <c r="C113" t="s">
        <v>155</v>
      </c>
      <c r="D113">
        <v>2019</v>
      </c>
      <c r="E113" t="s">
        <v>74</v>
      </c>
      <c r="F113" t="s">
        <v>75</v>
      </c>
      <c r="S113">
        <v>2</v>
      </c>
      <c r="T113">
        <v>3</v>
      </c>
      <c r="U113">
        <v>12.5</v>
      </c>
      <c r="V113">
        <v>58</v>
      </c>
      <c r="W113">
        <v>81</v>
      </c>
      <c r="X113">
        <v>18.5</v>
      </c>
      <c r="Y113">
        <v>1</v>
      </c>
      <c r="Z113">
        <v>0</v>
      </c>
      <c r="AK113">
        <v>0</v>
      </c>
      <c r="AL113">
        <v>0</v>
      </c>
    </row>
    <row r="114" spans="1:38" x14ac:dyDescent="0.3">
      <c r="A114">
        <v>195581</v>
      </c>
      <c r="B114" t="s">
        <v>42</v>
      </c>
      <c r="C114" t="s">
        <v>156</v>
      </c>
      <c r="D114">
        <v>2017</v>
      </c>
      <c r="E114" t="s">
        <v>157</v>
      </c>
      <c r="F114" t="s">
        <v>158</v>
      </c>
      <c r="S114">
        <v>5</v>
      </c>
      <c r="T114">
        <v>1</v>
      </c>
      <c r="U114">
        <v>0</v>
      </c>
      <c r="V114">
        <v>34</v>
      </c>
      <c r="W114">
        <v>71</v>
      </c>
      <c r="X114">
        <v>2.5</v>
      </c>
      <c r="Y114">
        <v>2</v>
      </c>
      <c r="Z114">
        <v>0</v>
      </c>
      <c r="AK114">
        <v>0</v>
      </c>
      <c r="AL114">
        <v>0</v>
      </c>
    </row>
    <row r="115" spans="1:38" x14ac:dyDescent="0.3">
      <c r="A115">
        <v>195581</v>
      </c>
      <c r="B115" t="s">
        <v>42</v>
      </c>
      <c r="C115" t="s">
        <v>156</v>
      </c>
      <c r="D115">
        <v>2018</v>
      </c>
      <c r="E115" t="s">
        <v>157</v>
      </c>
      <c r="F115" t="s">
        <v>158</v>
      </c>
      <c r="S115">
        <v>3</v>
      </c>
      <c r="T115">
        <v>1</v>
      </c>
      <c r="U115">
        <v>0</v>
      </c>
      <c r="V115">
        <v>33</v>
      </c>
      <c r="W115">
        <v>54</v>
      </c>
      <c r="X115">
        <v>2.5</v>
      </c>
      <c r="Y115">
        <v>2</v>
      </c>
      <c r="Z115">
        <v>0</v>
      </c>
    </row>
    <row r="116" spans="1:38" x14ac:dyDescent="0.3">
      <c r="A116">
        <v>195581</v>
      </c>
      <c r="B116" t="s">
        <v>42</v>
      </c>
      <c r="C116" t="s">
        <v>156</v>
      </c>
      <c r="D116">
        <v>2019</v>
      </c>
      <c r="E116" t="s">
        <v>157</v>
      </c>
      <c r="F116" t="s">
        <v>158</v>
      </c>
      <c r="S116">
        <v>6</v>
      </c>
      <c r="T116">
        <v>1</v>
      </c>
      <c r="U116">
        <v>0</v>
      </c>
      <c r="V116">
        <v>49</v>
      </c>
      <c r="W116">
        <v>83</v>
      </c>
      <c r="X116">
        <v>4.5</v>
      </c>
      <c r="Y116">
        <v>2</v>
      </c>
      <c r="Z116">
        <v>0</v>
      </c>
    </row>
    <row r="117" spans="1:38" x14ac:dyDescent="0.3">
      <c r="A117">
        <v>195690</v>
      </c>
      <c r="B117" t="s">
        <v>84</v>
      </c>
      <c r="C117" t="s">
        <v>159</v>
      </c>
      <c r="D117">
        <v>2017</v>
      </c>
      <c r="E117" t="s">
        <v>160</v>
      </c>
      <c r="F117" t="s">
        <v>161</v>
      </c>
      <c r="S117">
        <v>3</v>
      </c>
      <c r="T117">
        <v>4</v>
      </c>
      <c r="U117">
        <v>2.5</v>
      </c>
      <c r="V117">
        <v>41</v>
      </c>
      <c r="W117">
        <v>78</v>
      </c>
      <c r="X117">
        <v>7</v>
      </c>
      <c r="Z117">
        <v>0</v>
      </c>
      <c r="AK117">
        <v>0</v>
      </c>
      <c r="AL117">
        <v>0</v>
      </c>
    </row>
    <row r="118" spans="1:38" x14ac:dyDescent="0.3">
      <c r="A118">
        <v>195690</v>
      </c>
      <c r="B118" t="s">
        <v>84</v>
      </c>
      <c r="C118" t="s">
        <v>159</v>
      </c>
      <c r="D118">
        <v>2018</v>
      </c>
      <c r="E118" t="s">
        <v>160</v>
      </c>
      <c r="F118" t="s">
        <v>161</v>
      </c>
      <c r="S118">
        <v>2</v>
      </c>
      <c r="T118">
        <v>6</v>
      </c>
      <c r="U118">
        <v>6</v>
      </c>
      <c r="V118">
        <v>45</v>
      </c>
      <c r="W118">
        <v>82</v>
      </c>
      <c r="X118">
        <v>14</v>
      </c>
      <c r="Y118">
        <v>1</v>
      </c>
      <c r="Z118">
        <v>0</v>
      </c>
      <c r="AK118">
        <v>0</v>
      </c>
      <c r="AL118">
        <v>0</v>
      </c>
    </row>
    <row r="119" spans="1:38" x14ac:dyDescent="0.3">
      <c r="A119">
        <v>195690</v>
      </c>
      <c r="B119" t="s">
        <v>84</v>
      </c>
      <c r="C119" t="s">
        <v>159</v>
      </c>
      <c r="D119">
        <v>2019</v>
      </c>
      <c r="E119" t="s">
        <v>160</v>
      </c>
      <c r="F119" t="s">
        <v>161</v>
      </c>
      <c r="S119">
        <v>5</v>
      </c>
      <c r="T119">
        <v>7</v>
      </c>
      <c r="U119">
        <v>1</v>
      </c>
      <c r="V119">
        <v>51</v>
      </c>
      <c r="W119">
        <v>107</v>
      </c>
      <c r="X119">
        <v>15.5</v>
      </c>
      <c r="Z119">
        <v>0</v>
      </c>
      <c r="AK119">
        <v>0</v>
      </c>
      <c r="AL119">
        <v>0</v>
      </c>
    </row>
    <row r="120" spans="1:38" x14ac:dyDescent="0.3">
      <c r="A120">
        <v>195691</v>
      </c>
      <c r="B120" t="s">
        <v>84</v>
      </c>
      <c r="C120" t="s">
        <v>162</v>
      </c>
      <c r="D120">
        <v>2017</v>
      </c>
      <c r="E120" t="s">
        <v>160</v>
      </c>
      <c r="F120" t="s">
        <v>161</v>
      </c>
      <c r="S120">
        <v>2</v>
      </c>
      <c r="T120">
        <v>1</v>
      </c>
      <c r="U120">
        <v>3.5</v>
      </c>
      <c r="V120">
        <v>29</v>
      </c>
      <c r="W120">
        <v>65</v>
      </c>
      <c r="X120">
        <v>11</v>
      </c>
      <c r="Y120">
        <v>1</v>
      </c>
      <c r="Z120">
        <v>0</v>
      </c>
      <c r="AK120">
        <v>0</v>
      </c>
      <c r="AL120">
        <v>0</v>
      </c>
    </row>
    <row r="121" spans="1:38" x14ac:dyDescent="0.3">
      <c r="A121">
        <v>195691</v>
      </c>
      <c r="B121" t="s">
        <v>84</v>
      </c>
      <c r="C121" t="s">
        <v>162</v>
      </c>
      <c r="D121">
        <v>2018</v>
      </c>
      <c r="E121" t="s">
        <v>160</v>
      </c>
      <c r="F121" t="s">
        <v>161</v>
      </c>
      <c r="S121">
        <v>2</v>
      </c>
      <c r="T121">
        <v>5</v>
      </c>
      <c r="U121">
        <v>3.5</v>
      </c>
      <c r="V121">
        <v>35</v>
      </c>
      <c r="W121">
        <v>74</v>
      </c>
      <c r="X121">
        <v>11</v>
      </c>
      <c r="Y121">
        <v>1</v>
      </c>
      <c r="Z121">
        <v>0</v>
      </c>
    </row>
    <row r="122" spans="1:38" x14ac:dyDescent="0.3">
      <c r="A122">
        <v>195691</v>
      </c>
      <c r="B122" t="s">
        <v>84</v>
      </c>
      <c r="C122" t="s">
        <v>162</v>
      </c>
      <c r="D122">
        <v>2019</v>
      </c>
      <c r="E122" t="s">
        <v>160</v>
      </c>
      <c r="F122" t="s">
        <v>161</v>
      </c>
      <c r="S122">
        <v>3</v>
      </c>
      <c r="T122">
        <v>5</v>
      </c>
      <c r="U122">
        <v>5</v>
      </c>
      <c r="V122">
        <v>40</v>
      </c>
      <c r="W122">
        <v>64</v>
      </c>
      <c r="X122">
        <v>12.5</v>
      </c>
      <c r="Z122">
        <v>0</v>
      </c>
    </row>
    <row r="123" spans="1:38" x14ac:dyDescent="0.3">
      <c r="A123">
        <v>195726</v>
      </c>
      <c r="B123" t="s">
        <v>54</v>
      </c>
      <c r="C123" t="s">
        <v>163</v>
      </c>
      <c r="D123">
        <v>2017</v>
      </c>
      <c r="E123" t="s">
        <v>164</v>
      </c>
      <c r="F123" t="s">
        <v>165</v>
      </c>
      <c r="G123">
        <v>510</v>
      </c>
      <c r="H123">
        <v>323</v>
      </c>
      <c r="I123">
        <v>4044</v>
      </c>
      <c r="J123">
        <v>0.63300000000000001</v>
      </c>
      <c r="K123">
        <v>31</v>
      </c>
      <c r="L123">
        <v>15</v>
      </c>
      <c r="M123">
        <v>106</v>
      </c>
      <c r="N123">
        <v>17</v>
      </c>
      <c r="O123">
        <v>1</v>
      </c>
      <c r="AK123">
        <v>12</v>
      </c>
      <c r="AL123">
        <v>2</v>
      </c>
    </row>
    <row r="124" spans="1:38" x14ac:dyDescent="0.3">
      <c r="A124">
        <v>195726</v>
      </c>
      <c r="B124" t="s">
        <v>54</v>
      </c>
      <c r="C124" t="s">
        <v>163</v>
      </c>
      <c r="D124">
        <v>2018</v>
      </c>
      <c r="E124" t="s">
        <v>164</v>
      </c>
      <c r="F124" t="s">
        <v>165</v>
      </c>
      <c r="G124">
        <v>469</v>
      </c>
      <c r="H124">
        <v>303</v>
      </c>
      <c r="I124">
        <v>3793</v>
      </c>
      <c r="J124">
        <v>0.64600000000000002</v>
      </c>
      <c r="K124">
        <v>27</v>
      </c>
      <c r="L124">
        <v>5</v>
      </c>
      <c r="M124">
        <v>69</v>
      </c>
      <c r="N124">
        <v>20</v>
      </c>
      <c r="O124">
        <v>2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Z124">
        <v>0</v>
      </c>
      <c r="AK124">
        <v>6</v>
      </c>
      <c r="AL124">
        <v>2</v>
      </c>
    </row>
    <row r="125" spans="1:38" x14ac:dyDescent="0.3">
      <c r="A125">
        <v>195726</v>
      </c>
      <c r="B125" t="s">
        <v>54</v>
      </c>
      <c r="C125" t="s">
        <v>163</v>
      </c>
      <c r="D125">
        <v>2019</v>
      </c>
      <c r="E125" t="s">
        <v>164</v>
      </c>
      <c r="F125" t="s">
        <v>165</v>
      </c>
      <c r="G125">
        <v>414</v>
      </c>
      <c r="H125">
        <v>257</v>
      </c>
      <c r="I125">
        <v>3088</v>
      </c>
      <c r="J125">
        <v>0.621</v>
      </c>
      <c r="K125">
        <v>29</v>
      </c>
      <c r="L125">
        <v>9</v>
      </c>
      <c r="M125">
        <v>55</v>
      </c>
      <c r="N125">
        <v>-98</v>
      </c>
      <c r="O125">
        <v>2</v>
      </c>
      <c r="AK125">
        <v>7</v>
      </c>
      <c r="AL125">
        <v>2</v>
      </c>
    </row>
    <row r="126" spans="1:38" x14ac:dyDescent="0.3">
      <c r="A126">
        <v>195755</v>
      </c>
      <c r="B126" t="s">
        <v>69</v>
      </c>
      <c r="C126" t="s">
        <v>166</v>
      </c>
      <c r="D126">
        <v>2017</v>
      </c>
      <c r="E126" t="s">
        <v>164</v>
      </c>
      <c r="F126" t="s">
        <v>165</v>
      </c>
      <c r="S126">
        <v>0</v>
      </c>
      <c r="T126">
        <v>5</v>
      </c>
      <c r="U126">
        <v>0</v>
      </c>
      <c r="V126">
        <v>22</v>
      </c>
      <c r="W126">
        <v>40</v>
      </c>
      <c r="X126">
        <v>4</v>
      </c>
      <c r="Y126">
        <v>1</v>
      </c>
      <c r="Z126">
        <v>0</v>
      </c>
      <c r="AA126">
        <v>12</v>
      </c>
      <c r="AB126">
        <v>18</v>
      </c>
      <c r="AC126">
        <v>4</v>
      </c>
      <c r="AD126">
        <v>0</v>
      </c>
      <c r="AE126">
        <v>48</v>
      </c>
      <c r="AK126">
        <v>0</v>
      </c>
      <c r="AL126">
        <v>0</v>
      </c>
    </row>
    <row r="127" spans="1:38" x14ac:dyDescent="0.3">
      <c r="A127">
        <v>195755</v>
      </c>
      <c r="B127" t="s">
        <v>69</v>
      </c>
      <c r="C127" t="s">
        <v>166</v>
      </c>
      <c r="D127">
        <v>2018</v>
      </c>
      <c r="E127" t="s">
        <v>164</v>
      </c>
      <c r="F127" t="s">
        <v>165</v>
      </c>
      <c r="S127">
        <v>1</v>
      </c>
      <c r="T127">
        <v>3</v>
      </c>
      <c r="U127">
        <v>7.5</v>
      </c>
      <c r="V127">
        <v>16</v>
      </c>
      <c r="W127">
        <v>33</v>
      </c>
      <c r="X127">
        <v>11</v>
      </c>
      <c r="Z127">
        <v>0</v>
      </c>
      <c r="AA127">
        <v>5</v>
      </c>
      <c r="AB127">
        <v>5</v>
      </c>
      <c r="AC127">
        <v>1</v>
      </c>
      <c r="AD127">
        <v>0</v>
      </c>
      <c r="AE127">
        <v>5</v>
      </c>
    </row>
    <row r="128" spans="1:38" x14ac:dyDescent="0.3">
      <c r="A128">
        <v>195755</v>
      </c>
      <c r="B128" t="s">
        <v>69</v>
      </c>
      <c r="C128" t="s">
        <v>166</v>
      </c>
      <c r="D128">
        <v>2019</v>
      </c>
      <c r="E128" t="s">
        <v>164</v>
      </c>
      <c r="F128" t="s">
        <v>165</v>
      </c>
      <c r="S128">
        <v>0</v>
      </c>
      <c r="T128">
        <v>7</v>
      </c>
      <c r="U128">
        <v>8.5</v>
      </c>
      <c r="V128">
        <v>23</v>
      </c>
      <c r="W128">
        <v>39</v>
      </c>
      <c r="X128">
        <v>10.5</v>
      </c>
      <c r="Z128">
        <v>0</v>
      </c>
    </row>
    <row r="129" spans="1:38" x14ac:dyDescent="0.3">
      <c r="A129">
        <v>195806</v>
      </c>
      <c r="B129" t="s">
        <v>50</v>
      </c>
      <c r="C129" t="s">
        <v>167</v>
      </c>
      <c r="D129">
        <v>2017</v>
      </c>
      <c r="E129" t="s">
        <v>168</v>
      </c>
      <c r="F129" t="s">
        <v>169</v>
      </c>
      <c r="P129">
        <v>1</v>
      </c>
      <c r="Q129">
        <v>0</v>
      </c>
      <c r="R129">
        <v>4</v>
      </c>
    </row>
    <row r="130" spans="1:38" x14ac:dyDescent="0.3">
      <c r="A130">
        <v>195806</v>
      </c>
      <c r="B130" t="s">
        <v>50</v>
      </c>
      <c r="C130" t="s">
        <v>167</v>
      </c>
      <c r="D130">
        <v>2018</v>
      </c>
      <c r="E130" t="s">
        <v>168</v>
      </c>
      <c r="F130" t="s">
        <v>169</v>
      </c>
      <c r="S130">
        <v>9</v>
      </c>
      <c r="T130">
        <v>0</v>
      </c>
      <c r="U130">
        <v>0</v>
      </c>
      <c r="V130">
        <v>21</v>
      </c>
      <c r="W130">
        <v>37</v>
      </c>
      <c r="X130">
        <v>3</v>
      </c>
      <c r="Y130">
        <v>1</v>
      </c>
      <c r="Z130">
        <v>0</v>
      </c>
    </row>
    <row r="131" spans="1:38" x14ac:dyDescent="0.3">
      <c r="A131">
        <v>195806</v>
      </c>
      <c r="B131" t="s">
        <v>50</v>
      </c>
      <c r="C131" t="s">
        <v>167</v>
      </c>
      <c r="D131">
        <v>2019</v>
      </c>
      <c r="E131" t="s">
        <v>168</v>
      </c>
      <c r="F131" t="s">
        <v>169</v>
      </c>
      <c r="S131">
        <v>8</v>
      </c>
      <c r="T131">
        <v>0</v>
      </c>
      <c r="U131">
        <v>2</v>
      </c>
      <c r="V131">
        <v>42</v>
      </c>
      <c r="W131">
        <v>54</v>
      </c>
      <c r="X131">
        <v>4</v>
      </c>
      <c r="Y131">
        <v>1</v>
      </c>
      <c r="Z131">
        <v>0</v>
      </c>
    </row>
    <row r="132" spans="1:38" x14ac:dyDescent="0.3">
      <c r="A132">
        <v>195874</v>
      </c>
      <c r="B132" t="s">
        <v>142</v>
      </c>
      <c r="C132" t="s">
        <v>170</v>
      </c>
      <c r="D132">
        <v>2017</v>
      </c>
      <c r="E132" t="s">
        <v>171</v>
      </c>
      <c r="F132" t="s">
        <v>172</v>
      </c>
      <c r="P132">
        <v>3</v>
      </c>
      <c r="Q132">
        <v>0</v>
      </c>
      <c r="R132">
        <v>48</v>
      </c>
    </row>
    <row r="133" spans="1:38" x14ac:dyDescent="0.3">
      <c r="A133">
        <v>195874</v>
      </c>
      <c r="B133" t="s">
        <v>142</v>
      </c>
      <c r="C133" t="s">
        <v>170</v>
      </c>
      <c r="D133">
        <v>2018</v>
      </c>
      <c r="E133" t="s">
        <v>171</v>
      </c>
      <c r="F133" t="s">
        <v>172</v>
      </c>
      <c r="P133">
        <v>5</v>
      </c>
      <c r="Q133">
        <v>1</v>
      </c>
      <c r="R133">
        <v>30</v>
      </c>
    </row>
    <row r="134" spans="1:38" x14ac:dyDescent="0.3">
      <c r="A134">
        <v>195874</v>
      </c>
      <c r="B134" t="s">
        <v>142</v>
      </c>
      <c r="C134" t="s">
        <v>170</v>
      </c>
      <c r="D134">
        <v>2019</v>
      </c>
      <c r="E134" t="s">
        <v>173</v>
      </c>
      <c r="F134" t="s">
        <v>174</v>
      </c>
      <c r="P134">
        <v>13</v>
      </c>
      <c r="Q134">
        <v>1</v>
      </c>
      <c r="R134">
        <v>194</v>
      </c>
      <c r="AK134">
        <v>1</v>
      </c>
      <c r="AL134">
        <v>1</v>
      </c>
    </row>
    <row r="135" spans="1:38" x14ac:dyDescent="0.3">
      <c r="A135">
        <v>196065</v>
      </c>
      <c r="B135" t="s">
        <v>54</v>
      </c>
      <c r="C135" t="s">
        <v>175</v>
      </c>
      <c r="D135">
        <v>2017</v>
      </c>
      <c r="E135" t="s">
        <v>176</v>
      </c>
      <c r="F135" t="s">
        <v>177</v>
      </c>
      <c r="G135">
        <v>312</v>
      </c>
      <c r="H135">
        <v>199</v>
      </c>
      <c r="I135">
        <v>2411</v>
      </c>
      <c r="J135">
        <v>0.63800000000000001</v>
      </c>
      <c r="K135">
        <v>15</v>
      </c>
      <c r="L135">
        <v>10</v>
      </c>
      <c r="M135">
        <v>168</v>
      </c>
      <c r="N135">
        <v>537</v>
      </c>
      <c r="O135">
        <v>6</v>
      </c>
      <c r="AK135">
        <v>5</v>
      </c>
      <c r="AL135">
        <v>3</v>
      </c>
    </row>
    <row r="136" spans="1:38" x14ac:dyDescent="0.3">
      <c r="A136">
        <v>196065</v>
      </c>
      <c r="B136" t="s">
        <v>54</v>
      </c>
      <c r="C136" t="s">
        <v>175</v>
      </c>
      <c r="D136">
        <v>2018</v>
      </c>
      <c r="E136" t="s">
        <v>176</v>
      </c>
      <c r="F136" t="s">
        <v>177</v>
      </c>
      <c r="G136">
        <v>233</v>
      </c>
      <c r="H136">
        <v>149</v>
      </c>
      <c r="I136">
        <v>1762</v>
      </c>
      <c r="J136">
        <v>0.63900000000000001</v>
      </c>
      <c r="K136">
        <v>12</v>
      </c>
      <c r="L136">
        <v>6</v>
      </c>
      <c r="M136">
        <v>108</v>
      </c>
      <c r="N136">
        <v>304</v>
      </c>
      <c r="O136">
        <v>4</v>
      </c>
      <c r="P136">
        <v>1</v>
      </c>
      <c r="Q136">
        <v>1</v>
      </c>
      <c r="R136">
        <v>58</v>
      </c>
      <c r="AK136">
        <v>3</v>
      </c>
      <c r="AL136">
        <v>1</v>
      </c>
    </row>
    <row r="137" spans="1:38" x14ac:dyDescent="0.3">
      <c r="A137">
        <v>196065</v>
      </c>
      <c r="B137" t="s">
        <v>54</v>
      </c>
      <c r="C137" t="s">
        <v>175</v>
      </c>
      <c r="D137">
        <v>2019</v>
      </c>
      <c r="E137" t="s">
        <v>176</v>
      </c>
      <c r="F137" t="s">
        <v>177</v>
      </c>
      <c r="G137">
        <v>301</v>
      </c>
      <c r="H137">
        <v>220</v>
      </c>
      <c r="I137">
        <v>3092</v>
      </c>
      <c r="J137">
        <v>0.73099999999999998</v>
      </c>
      <c r="K137">
        <v>19</v>
      </c>
      <c r="L137">
        <v>4</v>
      </c>
      <c r="M137">
        <v>104</v>
      </c>
      <c r="N137">
        <v>290</v>
      </c>
      <c r="O137">
        <v>5</v>
      </c>
      <c r="AK137">
        <v>3</v>
      </c>
      <c r="AL137">
        <v>1</v>
      </c>
    </row>
    <row r="138" spans="1:38" x14ac:dyDescent="0.3">
      <c r="A138">
        <v>196085</v>
      </c>
      <c r="B138" t="s">
        <v>178</v>
      </c>
      <c r="C138" t="s">
        <v>179</v>
      </c>
      <c r="D138">
        <v>2017</v>
      </c>
      <c r="E138" t="s">
        <v>176</v>
      </c>
      <c r="F138" t="s">
        <v>177</v>
      </c>
      <c r="P138">
        <v>1</v>
      </c>
      <c r="Q138">
        <v>1</v>
      </c>
      <c r="R138">
        <v>1</v>
      </c>
    </row>
    <row r="139" spans="1:38" x14ac:dyDescent="0.3">
      <c r="A139">
        <v>196164</v>
      </c>
      <c r="B139" t="s">
        <v>142</v>
      </c>
      <c r="C139" t="s">
        <v>180</v>
      </c>
      <c r="D139">
        <v>2017</v>
      </c>
      <c r="E139" t="s">
        <v>181</v>
      </c>
      <c r="F139" t="s">
        <v>182</v>
      </c>
      <c r="P139">
        <v>17</v>
      </c>
      <c r="Q139">
        <v>2</v>
      </c>
      <c r="R139">
        <v>158</v>
      </c>
      <c r="S139">
        <v>0</v>
      </c>
      <c r="T139">
        <v>0</v>
      </c>
      <c r="U139">
        <v>0</v>
      </c>
      <c r="V139">
        <v>2</v>
      </c>
      <c r="W139">
        <v>3</v>
      </c>
      <c r="X139">
        <v>0</v>
      </c>
      <c r="Z139">
        <v>0</v>
      </c>
      <c r="AK139">
        <v>1</v>
      </c>
      <c r="AL139">
        <v>1</v>
      </c>
    </row>
    <row r="140" spans="1:38" x14ac:dyDescent="0.3">
      <c r="A140">
        <v>196164</v>
      </c>
      <c r="B140" t="s">
        <v>142</v>
      </c>
      <c r="C140" t="s">
        <v>180</v>
      </c>
      <c r="D140">
        <v>2018</v>
      </c>
      <c r="E140" t="s">
        <v>181</v>
      </c>
      <c r="F140" t="s">
        <v>182</v>
      </c>
      <c r="P140">
        <v>43</v>
      </c>
      <c r="Q140">
        <v>2</v>
      </c>
      <c r="R140">
        <v>540</v>
      </c>
      <c r="S140">
        <v>0</v>
      </c>
      <c r="T140">
        <v>0</v>
      </c>
      <c r="U140">
        <v>0</v>
      </c>
      <c r="V140">
        <v>2</v>
      </c>
      <c r="W140">
        <v>2</v>
      </c>
      <c r="X140">
        <v>0</v>
      </c>
      <c r="Z140">
        <v>0</v>
      </c>
    </row>
    <row r="141" spans="1:38" x14ac:dyDescent="0.3">
      <c r="A141">
        <v>196164</v>
      </c>
      <c r="B141" t="s">
        <v>142</v>
      </c>
      <c r="C141" t="s">
        <v>180</v>
      </c>
      <c r="D141">
        <v>2019</v>
      </c>
      <c r="E141" t="s">
        <v>181</v>
      </c>
      <c r="F141" t="s">
        <v>182</v>
      </c>
      <c r="P141">
        <v>28</v>
      </c>
      <c r="Q141">
        <v>5</v>
      </c>
      <c r="R141">
        <v>350</v>
      </c>
      <c r="S141">
        <v>0</v>
      </c>
      <c r="T141">
        <v>0</v>
      </c>
      <c r="U141">
        <v>0</v>
      </c>
      <c r="V141">
        <v>2</v>
      </c>
      <c r="W141">
        <v>3</v>
      </c>
      <c r="X141">
        <v>0</v>
      </c>
      <c r="Z141">
        <v>0</v>
      </c>
    </row>
    <row r="142" spans="1:38" x14ac:dyDescent="0.3">
      <c r="A142">
        <v>196171</v>
      </c>
      <c r="B142" t="s">
        <v>69</v>
      </c>
      <c r="C142" t="s">
        <v>183</v>
      </c>
      <c r="D142">
        <v>2017</v>
      </c>
      <c r="E142" t="s">
        <v>184</v>
      </c>
      <c r="F142" t="s">
        <v>185</v>
      </c>
      <c r="S142">
        <v>0</v>
      </c>
      <c r="T142">
        <v>4</v>
      </c>
      <c r="U142">
        <v>0.5</v>
      </c>
      <c r="V142">
        <v>14</v>
      </c>
      <c r="W142">
        <v>28</v>
      </c>
      <c r="X142">
        <v>2.5</v>
      </c>
      <c r="Z142">
        <v>0</v>
      </c>
    </row>
    <row r="143" spans="1:38" x14ac:dyDescent="0.3">
      <c r="A143">
        <v>196171</v>
      </c>
      <c r="B143" t="s">
        <v>69</v>
      </c>
      <c r="C143" t="s">
        <v>183</v>
      </c>
      <c r="D143">
        <v>2018</v>
      </c>
      <c r="E143" t="s">
        <v>184</v>
      </c>
      <c r="F143" t="s">
        <v>185</v>
      </c>
      <c r="S143">
        <v>0</v>
      </c>
      <c r="T143">
        <v>6</v>
      </c>
      <c r="U143">
        <v>10</v>
      </c>
      <c r="V143">
        <v>23</v>
      </c>
      <c r="W143">
        <v>30</v>
      </c>
      <c r="X143">
        <v>12</v>
      </c>
      <c r="Z143">
        <v>0</v>
      </c>
    </row>
    <row r="144" spans="1:38" x14ac:dyDescent="0.3">
      <c r="A144">
        <v>196171</v>
      </c>
      <c r="B144" t="s">
        <v>69</v>
      </c>
      <c r="C144" t="s">
        <v>183</v>
      </c>
      <c r="D144">
        <v>2019</v>
      </c>
      <c r="E144" t="s">
        <v>184</v>
      </c>
      <c r="F144" t="s">
        <v>185</v>
      </c>
      <c r="S144">
        <v>2</v>
      </c>
      <c r="T144">
        <v>6</v>
      </c>
      <c r="U144">
        <v>4</v>
      </c>
      <c r="V144">
        <v>20</v>
      </c>
      <c r="W144">
        <v>48</v>
      </c>
      <c r="X144">
        <v>10.5</v>
      </c>
      <c r="Z144">
        <v>0</v>
      </c>
    </row>
    <row r="145" spans="1:38" x14ac:dyDescent="0.3">
      <c r="A145">
        <v>196184</v>
      </c>
      <c r="B145" t="s">
        <v>50</v>
      </c>
      <c r="C145" t="s">
        <v>186</v>
      </c>
      <c r="D145">
        <v>2017</v>
      </c>
      <c r="E145" t="s">
        <v>187</v>
      </c>
      <c r="F145" t="s">
        <v>188</v>
      </c>
      <c r="S145">
        <v>2</v>
      </c>
      <c r="T145">
        <v>0</v>
      </c>
      <c r="U145">
        <v>1.5</v>
      </c>
      <c r="V145">
        <v>13</v>
      </c>
      <c r="W145">
        <v>20</v>
      </c>
      <c r="X145">
        <v>1.5</v>
      </c>
      <c r="Y145">
        <v>1</v>
      </c>
      <c r="Z145">
        <v>0</v>
      </c>
      <c r="AK145">
        <v>0</v>
      </c>
      <c r="AL145">
        <v>0</v>
      </c>
    </row>
    <row r="146" spans="1:38" x14ac:dyDescent="0.3">
      <c r="A146">
        <v>196184</v>
      </c>
      <c r="B146" t="s">
        <v>50</v>
      </c>
      <c r="C146" t="s">
        <v>186</v>
      </c>
      <c r="D146">
        <v>2018</v>
      </c>
      <c r="E146" t="s">
        <v>187</v>
      </c>
      <c r="F146" t="s">
        <v>188</v>
      </c>
      <c r="S146">
        <v>9</v>
      </c>
      <c r="T146">
        <v>1</v>
      </c>
      <c r="U146">
        <v>1</v>
      </c>
      <c r="V146">
        <v>37</v>
      </c>
      <c r="W146">
        <v>53</v>
      </c>
      <c r="X146">
        <v>7.5</v>
      </c>
      <c r="Z146">
        <v>0</v>
      </c>
      <c r="AF146">
        <v>8</v>
      </c>
      <c r="AG146">
        <v>8</v>
      </c>
      <c r="AH146">
        <v>1</v>
      </c>
      <c r="AI146">
        <v>0</v>
      </c>
      <c r="AJ146">
        <v>8</v>
      </c>
    </row>
    <row r="147" spans="1:38" x14ac:dyDescent="0.3">
      <c r="A147">
        <v>196184</v>
      </c>
      <c r="B147" t="s">
        <v>50</v>
      </c>
      <c r="C147" t="s">
        <v>186</v>
      </c>
      <c r="D147">
        <v>2019</v>
      </c>
      <c r="E147" t="s">
        <v>187</v>
      </c>
      <c r="F147" t="s">
        <v>188</v>
      </c>
      <c r="S147">
        <v>6</v>
      </c>
      <c r="T147">
        <v>0</v>
      </c>
      <c r="U147">
        <v>4</v>
      </c>
      <c r="V147">
        <v>55</v>
      </c>
      <c r="W147">
        <v>79</v>
      </c>
      <c r="X147">
        <v>8</v>
      </c>
      <c r="Y147">
        <v>3</v>
      </c>
      <c r="Z147">
        <v>0</v>
      </c>
      <c r="AF147">
        <v>2.5</v>
      </c>
      <c r="AG147">
        <v>5</v>
      </c>
      <c r="AH147">
        <v>2</v>
      </c>
      <c r="AI147">
        <v>0</v>
      </c>
      <c r="AJ147">
        <v>5</v>
      </c>
      <c r="AK147">
        <v>0</v>
      </c>
      <c r="AL147">
        <v>0</v>
      </c>
    </row>
    <row r="148" spans="1:38" x14ac:dyDescent="0.3">
      <c r="A148">
        <v>196241</v>
      </c>
      <c r="B148" t="s">
        <v>76</v>
      </c>
      <c r="C148" t="s">
        <v>189</v>
      </c>
      <c r="D148">
        <v>2017</v>
      </c>
      <c r="E148" t="s">
        <v>190</v>
      </c>
      <c r="F148" t="s">
        <v>191</v>
      </c>
      <c r="M148">
        <v>137</v>
      </c>
      <c r="N148">
        <v>732</v>
      </c>
      <c r="O148">
        <v>2</v>
      </c>
      <c r="P148">
        <v>9</v>
      </c>
      <c r="Q148">
        <v>2</v>
      </c>
      <c r="R148">
        <v>88</v>
      </c>
      <c r="S148">
        <v>0</v>
      </c>
      <c r="T148">
        <v>0</v>
      </c>
      <c r="U148">
        <v>0</v>
      </c>
      <c r="V148">
        <v>2</v>
      </c>
      <c r="W148">
        <v>2</v>
      </c>
      <c r="X148">
        <v>0</v>
      </c>
      <c r="Z148">
        <v>0</v>
      </c>
    </row>
    <row r="149" spans="1:38" x14ac:dyDescent="0.3">
      <c r="A149">
        <v>196241</v>
      </c>
      <c r="B149" t="s">
        <v>76</v>
      </c>
      <c r="C149" t="s">
        <v>189</v>
      </c>
      <c r="D149">
        <v>2018</v>
      </c>
      <c r="E149" t="s">
        <v>190</v>
      </c>
      <c r="F149" t="s">
        <v>191</v>
      </c>
      <c r="M149">
        <v>232</v>
      </c>
      <c r="N149">
        <v>1228</v>
      </c>
      <c r="O149">
        <v>11</v>
      </c>
      <c r="P149">
        <v>21</v>
      </c>
      <c r="Q149">
        <v>0</v>
      </c>
      <c r="R149">
        <v>282</v>
      </c>
      <c r="AK149">
        <v>2</v>
      </c>
      <c r="AL149">
        <v>1</v>
      </c>
    </row>
    <row r="150" spans="1:38" x14ac:dyDescent="0.3">
      <c r="A150">
        <v>196241</v>
      </c>
      <c r="B150" t="s">
        <v>76</v>
      </c>
      <c r="C150" t="s">
        <v>189</v>
      </c>
      <c r="D150">
        <v>2019</v>
      </c>
      <c r="E150" t="s">
        <v>190</v>
      </c>
      <c r="F150" t="s">
        <v>191</v>
      </c>
      <c r="M150">
        <v>193</v>
      </c>
      <c r="N150">
        <v>1072</v>
      </c>
      <c r="O150">
        <v>9</v>
      </c>
      <c r="P150">
        <v>19</v>
      </c>
      <c r="Q150">
        <v>4</v>
      </c>
      <c r="R150">
        <v>242</v>
      </c>
      <c r="AK150">
        <v>1</v>
      </c>
      <c r="AL150">
        <v>0</v>
      </c>
    </row>
    <row r="151" spans="1:38" x14ac:dyDescent="0.3">
      <c r="A151">
        <v>196251</v>
      </c>
      <c r="B151" t="s">
        <v>69</v>
      </c>
      <c r="C151" t="s">
        <v>192</v>
      </c>
      <c r="D151">
        <v>2017</v>
      </c>
      <c r="E151" t="s">
        <v>190</v>
      </c>
      <c r="F151" t="s">
        <v>191</v>
      </c>
      <c r="S151">
        <v>0</v>
      </c>
      <c r="T151">
        <v>7</v>
      </c>
      <c r="U151">
        <v>2</v>
      </c>
      <c r="V151">
        <v>23</v>
      </c>
      <c r="W151">
        <v>33</v>
      </c>
      <c r="X151">
        <v>5</v>
      </c>
      <c r="Z151">
        <v>0</v>
      </c>
      <c r="AK151">
        <v>0</v>
      </c>
      <c r="AL151">
        <v>0</v>
      </c>
    </row>
    <row r="152" spans="1:38" x14ac:dyDescent="0.3">
      <c r="A152">
        <v>196251</v>
      </c>
      <c r="B152" t="s">
        <v>69</v>
      </c>
      <c r="C152" t="s">
        <v>192</v>
      </c>
      <c r="D152">
        <v>2018</v>
      </c>
      <c r="E152" t="s">
        <v>190</v>
      </c>
      <c r="F152" t="s">
        <v>191</v>
      </c>
      <c r="S152">
        <v>1</v>
      </c>
      <c r="T152">
        <v>4</v>
      </c>
      <c r="U152">
        <v>3</v>
      </c>
      <c r="V152">
        <v>37</v>
      </c>
      <c r="W152">
        <v>54</v>
      </c>
      <c r="X152">
        <v>17.5</v>
      </c>
      <c r="Z152">
        <v>0</v>
      </c>
    </row>
    <row r="153" spans="1:38" x14ac:dyDescent="0.3">
      <c r="A153">
        <v>196251</v>
      </c>
      <c r="B153" t="s">
        <v>69</v>
      </c>
      <c r="C153" t="s">
        <v>192</v>
      </c>
      <c r="D153">
        <v>2019</v>
      </c>
      <c r="E153" t="s">
        <v>190</v>
      </c>
      <c r="F153" t="s">
        <v>191</v>
      </c>
      <c r="S153">
        <v>2</v>
      </c>
      <c r="T153">
        <v>7</v>
      </c>
      <c r="U153">
        <v>10.5</v>
      </c>
      <c r="V153">
        <v>37</v>
      </c>
      <c r="W153">
        <v>63</v>
      </c>
      <c r="X153">
        <v>16.5</v>
      </c>
      <c r="Z153">
        <v>0</v>
      </c>
    </row>
    <row r="154" spans="1:38" x14ac:dyDescent="0.3">
      <c r="A154">
        <v>196379</v>
      </c>
      <c r="B154" t="s">
        <v>38</v>
      </c>
      <c r="C154" t="s">
        <v>193</v>
      </c>
      <c r="D154">
        <v>2019</v>
      </c>
      <c r="E154" t="s">
        <v>194</v>
      </c>
      <c r="F154" t="s">
        <v>195</v>
      </c>
      <c r="S154">
        <v>0</v>
      </c>
      <c r="T154">
        <v>0</v>
      </c>
      <c r="U154">
        <v>1</v>
      </c>
      <c r="V154">
        <v>5</v>
      </c>
      <c r="W154">
        <v>6</v>
      </c>
      <c r="X154">
        <v>1</v>
      </c>
      <c r="Z154">
        <v>0</v>
      </c>
    </row>
    <row r="155" spans="1:38" x14ac:dyDescent="0.3">
      <c r="A155">
        <v>196601</v>
      </c>
      <c r="B155" t="s">
        <v>38</v>
      </c>
      <c r="C155" t="s">
        <v>196</v>
      </c>
      <c r="D155">
        <v>2017</v>
      </c>
      <c r="E155" t="s">
        <v>197</v>
      </c>
      <c r="F155" t="s">
        <v>198</v>
      </c>
      <c r="S155">
        <v>1</v>
      </c>
      <c r="T155">
        <v>2</v>
      </c>
      <c r="U155">
        <v>2</v>
      </c>
      <c r="V155">
        <v>7</v>
      </c>
      <c r="W155">
        <v>15</v>
      </c>
      <c r="X155">
        <v>4</v>
      </c>
      <c r="Z155">
        <v>0</v>
      </c>
    </row>
    <row r="156" spans="1:38" x14ac:dyDescent="0.3">
      <c r="A156">
        <v>196601</v>
      </c>
      <c r="B156" t="s">
        <v>38</v>
      </c>
      <c r="C156" t="s">
        <v>196</v>
      </c>
      <c r="D156">
        <v>2018</v>
      </c>
      <c r="E156" t="s">
        <v>197</v>
      </c>
      <c r="F156" t="s">
        <v>198</v>
      </c>
      <c r="S156">
        <v>0</v>
      </c>
      <c r="T156">
        <v>4</v>
      </c>
      <c r="U156">
        <v>3</v>
      </c>
      <c r="V156">
        <v>24</v>
      </c>
      <c r="W156">
        <v>41</v>
      </c>
      <c r="X156">
        <v>8</v>
      </c>
      <c r="Z156">
        <v>0</v>
      </c>
      <c r="AK156">
        <v>0</v>
      </c>
      <c r="AL156">
        <v>0</v>
      </c>
    </row>
    <row r="157" spans="1:38" x14ac:dyDescent="0.3">
      <c r="A157">
        <v>196601</v>
      </c>
      <c r="B157" t="s">
        <v>38</v>
      </c>
      <c r="C157" t="s">
        <v>196</v>
      </c>
      <c r="D157">
        <v>2019</v>
      </c>
      <c r="E157" t="s">
        <v>197</v>
      </c>
      <c r="F157" t="s">
        <v>198</v>
      </c>
      <c r="S157">
        <v>1</v>
      </c>
      <c r="T157">
        <v>0</v>
      </c>
      <c r="U157">
        <v>8</v>
      </c>
      <c r="V157">
        <v>28</v>
      </c>
      <c r="W157">
        <v>44</v>
      </c>
      <c r="X157">
        <v>12</v>
      </c>
      <c r="Z157">
        <v>0</v>
      </c>
    </row>
    <row r="158" spans="1:38" x14ac:dyDescent="0.3">
      <c r="A158">
        <v>196603</v>
      </c>
      <c r="B158" t="s">
        <v>38</v>
      </c>
      <c r="C158" t="s">
        <v>199</v>
      </c>
      <c r="D158">
        <v>2017</v>
      </c>
      <c r="E158" t="s">
        <v>197</v>
      </c>
      <c r="F158" t="s">
        <v>198</v>
      </c>
      <c r="S158">
        <v>0</v>
      </c>
      <c r="T158">
        <v>6</v>
      </c>
      <c r="U158">
        <v>2.5</v>
      </c>
      <c r="V158">
        <v>18</v>
      </c>
      <c r="W158">
        <v>42</v>
      </c>
      <c r="X158">
        <v>3.5</v>
      </c>
      <c r="Z158">
        <v>0</v>
      </c>
    </row>
    <row r="159" spans="1:38" x14ac:dyDescent="0.3">
      <c r="A159">
        <v>196603</v>
      </c>
      <c r="B159" t="s">
        <v>38</v>
      </c>
      <c r="C159" t="s">
        <v>199</v>
      </c>
      <c r="D159">
        <v>2018</v>
      </c>
      <c r="E159" t="s">
        <v>197</v>
      </c>
      <c r="F159" t="s">
        <v>198</v>
      </c>
      <c r="S159">
        <v>5</v>
      </c>
      <c r="T159">
        <v>1</v>
      </c>
      <c r="U159">
        <v>1</v>
      </c>
      <c r="V159">
        <v>13</v>
      </c>
      <c r="W159">
        <v>27</v>
      </c>
      <c r="X159">
        <v>3</v>
      </c>
      <c r="Z159">
        <v>0</v>
      </c>
      <c r="AK159">
        <v>0</v>
      </c>
      <c r="AL159">
        <v>0</v>
      </c>
    </row>
    <row r="160" spans="1:38" x14ac:dyDescent="0.3">
      <c r="A160">
        <v>196603</v>
      </c>
      <c r="B160" t="s">
        <v>38</v>
      </c>
      <c r="C160" t="s">
        <v>199</v>
      </c>
      <c r="D160">
        <v>2019</v>
      </c>
      <c r="E160" t="s">
        <v>197</v>
      </c>
      <c r="F160" t="s">
        <v>198</v>
      </c>
      <c r="S160">
        <v>3</v>
      </c>
      <c r="T160">
        <v>1</v>
      </c>
      <c r="U160">
        <v>4</v>
      </c>
      <c r="V160">
        <v>17</v>
      </c>
      <c r="W160">
        <v>32</v>
      </c>
      <c r="X160">
        <v>6</v>
      </c>
      <c r="Z160">
        <v>0</v>
      </c>
      <c r="AK160">
        <v>0</v>
      </c>
      <c r="AL160">
        <v>0</v>
      </c>
    </row>
    <row r="161" spans="1:38" x14ac:dyDescent="0.3">
      <c r="A161">
        <v>196605</v>
      </c>
      <c r="B161" t="s">
        <v>46</v>
      </c>
      <c r="C161" t="s">
        <v>200</v>
      </c>
      <c r="D161">
        <v>2017</v>
      </c>
      <c r="E161" t="s">
        <v>201</v>
      </c>
      <c r="F161" t="s">
        <v>202</v>
      </c>
      <c r="P161">
        <v>35</v>
      </c>
      <c r="Q161">
        <v>0</v>
      </c>
      <c r="R161">
        <v>379</v>
      </c>
    </row>
    <row r="162" spans="1:38" x14ac:dyDescent="0.3">
      <c r="A162">
        <v>196605</v>
      </c>
      <c r="B162" t="s">
        <v>46</v>
      </c>
      <c r="C162" t="s">
        <v>200</v>
      </c>
      <c r="D162">
        <v>2018</v>
      </c>
      <c r="E162" t="s">
        <v>201</v>
      </c>
      <c r="F162" t="s">
        <v>202</v>
      </c>
      <c r="P162">
        <v>61</v>
      </c>
      <c r="Q162">
        <v>5</v>
      </c>
      <c r="R162">
        <v>816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Z162">
        <v>0</v>
      </c>
    </row>
    <row r="163" spans="1:38" x14ac:dyDescent="0.3">
      <c r="A163">
        <v>196605</v>
      </c>
      <c r="B163" t="s">
        <v>46</v>
      </c>
      <c r="C163" t="s">
        <v>200</v>
      </c>
      <c r="D163">
        <v>2019</v>
      </c>
      <c r="E163" t="s">
        <v>201</v>
      </c>
      <c r="F163" t="s">
        <v>202</v>
      </c>
      <c r="P163">
        <v>58</v>
      </c>
      <c r="Q163">
        <v>8</v>
      </c>
      <c r="R163">
        <v>762</v>
      </c>
      <c r="S163">
        <v>0</v>
      </c>
      <c r="T163">
        <v>0</v>
      </c>
      <c r="U163">
        <v>0</v>
      </c>
      <c r="V163">
        <v>1</v>
      </c>
      <c r="W163">
        <v>2</v>
      </c>
      <c r="X163">
        <v>0</v>
      </c>
      <c r="Z163">
        <v>0</v>
      </c>
      <c r="AK163">
        <v>1</v>
      </c>
      <c r="AL163">
        <v>1</v>
      </c>
    </row>
    <row r="164" spans="1:38" x14ac:dyDescent="0.3">
      <c r="A164">
        <v>196663</v>
      </c>
      <c r="B164" t="s">
        <v>46</v>
      </c>
      <c r="C164" t="s">
        <v>203</v>
      </c>
      <c r="D164">
        <v>2017</v>
      </c>
      <c r="E164" t="s">
        <v>204</v>
      </c>
      <c r="F164" t="s">
        <v>205</v>
      </c>
      <c r="P164">
        <v>7</v>
      </c>
      <c r="Q164">
        <v>1</v>
      </c>
      <c r="R164">
        <v>69</v>
      </c>
      <c r="S164">
        <v>0</v>
      </c>
      <c r="T164">
        <v>0</v>
      </c>
      <c r="U164">
        <v>0</v>
      </c>
      <c r="V164">
        <v>3</v>
      </c>
      <c r="W164">
        <v>3</v>
      </c>
      <c r="X164">
        <v>0</v>
      </c>
      <c r="Z164">
        <v>0</v>
      </c>
    </row>
    <row r="165" spans="1:38" x14ac:dyDescent="0.3">
      <c r="A165">
        <v>196663</v>
      </c>
      <c r="B165" t="s">
        <v>46</v>
      </c>
      <c r="C165" t="s">
        <v>203</v>
      </c>
      <c r="D165">
        <v>2018</v>
      </c>
      <c r="E165" t="s">
        <v>204</v>
      </c>
      <c r="F165" t="s">
        <v>205</v>
      </c>
      <c r="M165">
        <v>1</v>
      </c>
      <c r="N165">
        <v>-4</v>
      </c>
      <c r="O165">
        <v>0</v>
      </c>
      <c r="P165">
        <v>7</v>
      </c>
      <c r="Q165">
        <v>1</v>
      </c>
      <c r="R165">
        <v>128</v>
      </c>
    </row>
    <row r="166" spans="1:38" x14ac:dyDescent="0.3">
      <c r="A166">
        <v>196663</v>
      </c>
      <c r="B166" t="s">
        <v>46</v>
      </c>
      <c r="C166" t="s">
        <v>203</v>
      </c>
      <c r="D166">
        <v>2019</v>
      </c>
      <c r="E166" t="s">
        <v>204</v>
      </c>
      <c r="F166" t="s">
        <v>205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14</v>
      </c>
      <c r="Q166">
        <v>1</v>
      </c>
      <c r="R166">
        <v>208</v>
      </c>
    </row>
    <row r="167" spans="1:38" x14ac:dyDescent="0.3">
      <c r="A167">
        <v>196696</v>
      </c>
      <c r="B167" t="s">
        <v>46</v>
      </c>
      <c r="C167" t="s">
        <v>206</v>
      </c>
      <c r="D167">
        <v>2017</v>
      </c>
      <c r="E167" t="s">
        <v>207</v>
      </c>
      <c r="F167" t="s">
        <v>208</v>
      </c>
      <c r="M167">
        <v>21</v>
      </c>
      <c r="N167">
        <v>112</v>
      </c>
      <c r="O167">
        <v>1</v>
      </c>
      <c r="P167">
        <v>23</v>
      </c>
      <c r="Q167">
        <v>2</v>
      </c>
      <c r="R167">
        <v>244</v>
      </c>
      <c r="S167">
        <v>0</v>
      </c>
      <c r="T167">
        <v>0</v>
      </c>
      <c r="U167">
        <v>0</v>
      </c>
      <c r="V167">
        <v>1</v>
      </c>
      <c r="W167">
        <v>3</v>
      </c>
      <c r="X167">
        <v>0</v>
      </c>
      <c r="Z167">
        <v>2</v>
      </c>
      <c r="AA167">
        <v>29.7</v>
      </c>
      <c r="AB167">
        <v>98</v>
      </c>
      <c r="AC167">
        <v>29</v>
      </c>
      <c r="AD167">
        <v>2</v>
      </c>
      <c r="AE167">
        <v>861</v>
      </c>
    </row>
    <row r="168" spans="1:38" x14ac:dyDescent="0.3">
      <c r="A168">
        <v>196696</v>
      </c>
      <c r="B168" t="s">
        <v>46</v>
      </c>
      <c r="C168" t="s">
        <v>206</v>
      </c>
      <c r="D168">
        <v>2018</v>
      </c>
      <c r="E168" t="s">
        <v>207</v>
      </c>
      <c r="F168" t="s">
        <v>208</v>
      </c>
      <c r="M168">
        <v>3</v>
      </c>
      <c r="N168">
        <v>15</v>
      </c>
      <c r="O168">
        <v>0</v>
      </c>
      <c r="P168">
        <v>25</v>
      </c>
      <c r="Q168">
        <v>7</v>
      </c>
      <c r="R168">
        <v>465</v>
      </c>
      <c r="S168">
        <v>0</v>
      </c>
      <c r="T168">
        <v>0</v>
      </c>
      <c r="U168">
        <v>0</v>
      </c>
      <c r="V168">
        <v>5</v>
      </c>
      <c r="W168">
        <v>7</v>
      </c>
      <c r="X168">
        <v>0</v>
      </c>
      <c r="Z168">
        <v>1</v>
      </c>
      <c r="AA168">
        <v>27.2</v>
      </c>
      <c r="AB168">
        <v>90</v>
      </c>
      <c r="AC168">
        <v>26</v>
      </c>
      <c r="AD168">
        <v>1</v>
      </c>
      <c r="AE168">
        <v>707</v>
      </c>
      <c r="AK168">
        <v>2</v>
      </c>
      <c r="AL168">
        <v>1</v>
      </c>
    </row>
    <row r="169" spans="1:38" x14ac:dyDescent="0.3">
      <c r="A169">
        <v>196696</v>
      </c>
      <c r="B169" t="s">
        <v>46</v>
      </c>
      <c r="C169" t="s">
        <v>206</v>
      </c>
      <c r="D169">
        <v>2019</v>
      </c>
      <c r="E169" t="s">
        <v>207</v>
      </c>
      <c r="F169" t="s">
        <v>208</v>
      </c>
      <c r="M169">
        <v>8</v>
      </c>
      <c r="N169">
        <v>42</v>
      </c>
      <c r="O169">
        <v>0</v>
      </c>
      <c r="P169">
        <v>77</v>
      </c>
      <c r="Q169">
        <v>7</v>
      </c>
      <c r="R169">
        <v>679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Z169">
        <v>2</v>
      </c>
      <c r="AA169">
        <v>33.200000000000003</v>
      </c>
      <c r="AB169">
        <v>100</v>
      </c>
      <c r="AC169">
        <v>24</v>
      </c>
      <c r="AD169">
        <v>2</v>
      </c>
      <c r="AE169">
        <v>796</v>
      </c>
      <c r="AK169">
        <v>1</v>
      </c>
      <c r="AL169">
        <v>1</v>
      </c>
    </row>
    <row r="170" spans="1:38" x14ac:dyDescent="0.3">
      <c r="A170">
        <v>196785</v>
      </c>
      <c r="B170" t="s">
        <v>46</v>
      </c>
      <c r="C170" t="s">
        <v>209</v>
      </c>
      <c r="D170">
        <v>2017</v>
      </c>
      <c r="E170" t="s">
        <v>210</v>
      </c>
      <c r="F170" t="s">
        <v>211</v>
      </c>
      <c r="M170">
        <v>1</v>
      </c>
      <c r="N170">
        <v>-9</v>
      </c>
      <c r="O170">
        <v>0</v>
      </c>
      <c r="P170">
        <v>22</v>
      </c>
      <c r="Q170">
        <v>1</v>
      </c>
      <c r="R170">
        <v>270</v>
      </c>
    </row>
    <row r="171" spans="1:38" x14ac:dyDescent="0.3">
      <c r="A171">
        <v>196785</v>
      </c>
      <c r="B171" t="s">
        <v>46</v>
      </c>
      <c r="C171" t="s">
        <v>209</v>
      </c>
      <c r="D171">
        <v>2018</v>
      </c>
      <c r="E171" t="s">
        <v>210</v>
      </c>
      <c r="F171" t="s">
        <v>211</v>
      </c>
      <c r="P171">
        <v>29</v>
      </c>
      <c r="Q171">
        <v>4</v>
      </c>
      <c r="R171">
        <v>273</v>
      </c>
    </row>
    <row r="172" spans="1:38" x14ac:dyDescent="0.3">
      <c r="A172">
        <v>196785</v>
      </c>
      <c r="B172" t="s">
        <v>46</v>
      </c>
      <c r="C172" t="s">
        <v>209</v>
      </c>
      <c r="D172">
        <v>2019</v>
      </c>
      <c r="E172" t="s">
        <v>212</v>
      </c>
      <c r="F172" t="s">
        <v>213</v>
      </c>
      <c r="P172">
        <v>19</v>
      </c>
      <c r="Q172">
        <v>2</v>
      </c>
      <c r="R172">
        <v>237</v>
      </c>
    </row>
    <row r="173" spans="1:38" x14ac:dyDescent="0.3">
      <c r="A173">
        <v>196808</v>
      </c>
      <c r="B173" t="s">
        <v>214</v>
      </c>
      <c r="C173" t="s">
        <v>215</v>
      </c>
      <c r="D173">
        <v>2017</v>
      </c>
      <c r="E173" t="s">
        <v>119</v>
      </c>
      <c r="F173" t="s">
        <v>120</v>
      </c>
      <c r="S173">
        <v>0</v>
      </c>
      <c r="T173">
        <v>0</v>
      </c>
      <c r="U173">
        <v>0</v>
      </c>
      <c r="V173">
        <v>2</v>
      </c>
      <c r="W173">
        <v>2</v>
      </c>
      <c r="X173">
        <v>0</v>
      </c>
      <c r="Z173">
        <v>0</v>
      </c>
    </row>
    <row r="174" spans="1:38" x14ac:dyDescent="0.3">
      <c r="A174">
        <v>196808</v>
      </c>
      <c r="B174" t="s">
        <v>214</v>
      </c>
      <c r="C174" t="s">
        <v>215</v>
      </c>
      <c r="D174">
        <v>2019</v>
      </c>
      <c r="E174" t="s">
        <v>119</v>
      </c>
      <c r="F174" t="s">
        <v>120</v>
      </c>
      <c r="AK174">
        <v>0</v>
      </c>
      <c r="AL174">
        <v>0</v>
      </c>
    </row>
    <row r="175" spans="1:38" x14ac:dyDescent="0.3">
      <c r="A175">
        <v>196822</v>
      </c>
      <c r="B175" t="s">
        <v>46</v>
      </c>
      <c r="C175" t="s">
        <v>216</v>
      </c>
      <c r="D175">
        <v>2017</v>
      </c>
      <c r="E175" t="s">
        <v>217</v>
      </c>
      <c r="F175" t="s">
        <v>218</v>
      </c>
      <c r="G175">
        <v>2</v>
      </c>
      <c r="H175">
        <v>1</v>
      </c>
      <c r="I175">
        <v>5</v>
      </c>
      <c r="J175">
        <v>0.5</v>
      </c>
      <c r="K175">
        <v>1</v>
      </c>
      <c r="L175">
        <v>1</v>
      </c>
      <c r="M175">
        <v>138</v>
      </c>
      <c r="N175">
        <v>1182</v>
      </c>
      <c r="O175">
        <v>11</v>
      </c>
      <c r="P175">
        <v>13</v>
      </c>
      <c r="Q175">
        <v>2</v>
      </c>
      <c r="R175">
        <v>303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Z175">
        <v>0</v>
      </c>
      <c r="AA175">
        <v>24.5</v>
      </c>
      <c r="AB175">
        <v>58</v>
      </c>
      <c r="AC175">
        <v>13</v>
      </c>
      <c r="AD175">
        <v>0</v>
      </c>
      <c r="AE175">
        <v>318</v>
      </c>
      <c r="AK175">
        <v>1</v>
      </c>
      <c r="AL175">
        <v>1</v>
      </c>
    </row>
    <row r="176" spans="1:38" x14ac:dyDescent="0.3">
      <c r="A176">
        <v>196822</v>
      </c>
      <c r="B176" t="s">
        <v>46</v>
      </c>
      <c r="C176" t="s">
        <v>216</v>
      </c>
      <c r="D176">
        <v>2018</v>
      </c>
      <c r="E176" t="s">
        <v>217</v>
      </c>
      <c r="F176" t="s">
        <v>218</v>
      </c>
      <c r="G176">
        <v>24</v>
      </c>
      <c r="H176">
        <v>9</v>
      </c>
      <c r="I176">
        <v>222</v>
      </c>
      <c r="J176">
        <v>0.375</v>
      </c>
      <c r="K176">
        <v>2</v>
      </c>
      <c r="L176">
        <v>1</v>
      </c>
      <c r="M176">
        <v>172</v>
      </c>
      <c r="N176">
        <v>1087</v>
      </c>
      <c r="O176">
        <v>7</v>
      </c>
      <c r="P176">
        <v>9</v>
      </c>
      <c r="Q176">
        <v>1</v>
      </c>
      <c r="R176">
        <v>167</v>
      </c>
      <c r="AA176">
        <v>24.7</v>
      </c>
      <c r="AB176">
        <v>33</v>
      </c>
      <c r="AC176">
        <v>7</v>
      </c>
      <c r="AD176">
        <v>0</v>
      </c>
      <c r="AE176">
        <v>173</v>
      </c>
      <c r="AK176">
        <v>4</v>
      </c>
      <c r="AL176">
        <v>1</v>
      </c>
    </row>
    <row r="177" spans="1:38" x14ac:dyDescent="0.3">
      <c r="A177">
        <v>196822</v>
      </c>
      <c r="B177" t="s">
        <v>46</v>
      </c>
      <c r="C177" t="s">
        <v>216</v>
      </c>
      <c r="D177">
        <v>2019</v>
      </c>
      <c r="E177" t="s">
        <v>217</v>
      </c>
      <c r="F177" t="s">
        <v>218</v>
      </c>
      <c r="G177">
        <v>86</v>
      </c>
      <c r="H177">
        <v>48</v>
      </c>
      <c r="I177">
        <v>1084</v>
      </c>
      <c r="J177">
        <v>0.55800000000000005</v>
      </c>
      <c r="K177">
        <v>7</v>
      </c>
      <c r="L177">
        <v>3</v>
      </c>
      <c r="M177">
        <v>295</v>
      </c>
      <c r="N177">
        <v>2017</v>
      </c>
      <c r="O177">
        <v>21</v>
      </c>
      <c r="AK177">
        <v>7</v>
      </c>
      <c r="AL177">
        <v>5</v>
      </c>
    </row>
    <row r="178" spans="1:38" x14ac:dyDescent="0.3">
      <c r="A178">
        <v>196978</v>
      </c>
      <c r="B178" t="s">
        <v>100</v>
      </c>
      <c r="C178" t="s">
        <v>219</v>
      </c>
      <c r="D178">
        <v>2019</v>
      </c>
      <c r="E178" t="s">
        <v>220</v>
      </c>
      <c r="F178" t="s">
        <v>221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Z178">
        <v>0</v>
      </c>
    </row>
    <row r="179" spans="1:38" x14ac:dyDescent="0.3">
      <c r="A179">
        <v>196998</v>
      </c>
      <c r="B179" t="s">
        <v>84</v>
      </c>
      <c r="C179" t="s">
        <v>222</v>
      </c>
      <c r="D179">
        <v>2017</v>
      </c>
      <c r="E179" t="s">
        <v>223</v>
      </c>
      <c r="F179" t="s">
        <v>224</v>
      </c>
      <c r="S179">
        <v>1</v>
      </c>
      <c r="T179">
        <v>2</v>
      </c>
      <c r="U179">
        <v>1</v>
      </c>
      <c r="V179">
        <v>34</v>
      </c>
      <c r="W179">
        <v>58</v>
      </c>
      <c r="X179">
        <v>5</v>
      </c>
      <c r="Z179">
        <v>0</v>
      </c>
    </row>
    <row r="180" spans="1:38" x14ac:dyDescent="0.3">
      <c r="A180">
        <v>196998</v>
      </c>
      <c r="B180" t="s">
        <v>84</v>
      </c>
      <c r="C180" t="s">
        <v>222</v>
      </c>
      <c r="D180">
        <v>2018</v>
      </c>
      <c r="E180" t="s">
        <v>223</v>
      </c>
      <c r="F180" t="s">
        <v>224</v>
      </c>
      <c r="S180">
        <v>2</v>
      </c>
      <c r="T180">
        <v>3</v>
      </c>
      <c r="U180">
        <v>8.5</v>
      </c>
      <c r="V180">
        <v>69</v>
      </c>
      <c r="W180">
        <v>126</v>
      </c>
      <c r="X180">
        <v>14.5</v>
      </c>
      <c r="Z180">
        <v>0</v>
      </c>
    </row>
    <row r="181" spans="1:38" x14ac:dyDescent="0.3">
      <c r="A181">
        <v>196998</v>
      </c>
      <c r="B181" t="s">
        <v>84</v>
      </c>
      <c r="C181" t="s">
        <v>222</v>
      </c>
      <c r="D181">
        <v>2019</v>
      </c>
      <c r="E181" t="s">
        <v>223</v>
      </c>
      <c r="F181" t="s">
        <v>224</v>
      </c>
      <c r="S181">
        <v>1</v>
      </c>
      <c r="T181">
        <v>4</v>
      </c>
      <c r="U181">
        <v>3.5</v>
      </c>
      <c r="V181">
        <v>43</v>
      </c>
      <c r="W181">
        <v>99</v>
      </c>
      <c r="X181">
        <v>10.5</v>
      </c>
      <c r="Y181">
        <v>2</v>
      </c>
      <c r="Z181">
        <v>0</v>
      </c>
    </row>
    <row r="182" spans="1:38" x14ac:dyDescent="0.3">
      <c r="A182">
        <v>197001</v>
      </c>
      <c r="B182" t="s">
        <v>100</v>
      </c>
      <c r="C182" t="s">
        <v>225</v>
      </c>
      <c r="D182">
        <v>2017</v>
      </c>
      <c r="E182" t="s">
        <v>223</v>
      </c>
      <c r="F182" t="s">
        <v>224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Z182">
        <v>0</v>
      </c>
    </row>
    <row r="183" spans="1:38" x14ac:dyDescent="0.3">
      <c r="A183">
        <v>197279</v>
      </c>
      <c r="B183" t="s">
        <v>46</v>
      </c>
      <c r="C183" t="s">
        <v>226</v>
      </c>
      <c r="D183">
        <v>2017</v>
      </c>
      <c r="E183" t="s">
        <v>56</v>
      </c>
      <c r="F183" t="s">
        <v>57</v>
      </c>
      <c r="P183">
        <v>14</v>
      </c>
      <c r="Q183">
        <v>0</v>
      </c>
      <c r="R183">
        <v>178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Z183">
        <v>0</v>
      </c>
    </row>
    <row r="184" spans="1:38" x14ac:dyDescent="0.3">
      <c r="A184">
        <v>197279</v>
      </c>
      <c r="B184" t="s">
        <v>46</v>
      </c>
      <c r="C184" t="s">
        <v>226</v>
      </c>
      <c r="D184">
        <v>2018</v>
      </c>
      <c r="E184" t="s">
        <v>56</v>
      </c>
      <c r="F184" t="s">
        <v>57</v>
      </c>
      <c r="M184">
        <v>1</v>
      </c>
      <c r="N184">
        <v>3</v>
      </c>
      <c r="O184">
        <v>0</v>
      </c>
      <c r="P184">
        <v>14</v>
      </c>
      <c r="Q184">
        <v>3</v>
      </c>
      <c r="R184">
        <v>199</v>
      </c>
      <c r="S184">
        <v>1</v>
      </c>
      <c r="T184">
        <v>0</v>
      </c>
      <c r="U184">
        <v>0</v>
      </c>
      <c r="V184">
        <v>3</v>
      </c>
      <c r="W184">
        <v>5</v>
      </c>
      <c r="X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</row>
    <row r="185" spans="1:38" x14ac:dyDescent="0.3">
      <c r="A185">
        <v>197279</v>
      </c>
      <c r="B185" t="s">
        <v>46</v>
      </c>
      <c r="C185" t="s">
        <v>226</v>
      </c>
      <c r="D185">
        <v>2019</v>
      </c>
      <c r="E185" t="s">
        <v>56</v>
      </c>
      <c r="F185" t="s">
        <v>57</v>
      </c>
      <c r="P185">
        <v>22</v>
      </c>
      <c r="Q185">
        <v>3</v>
      </c>
      <c r="R185">
        <v>352</v>
      </c>
    </row>
    <row r="186" spans="1:38" x14ac:dyDescent="0.3">
      <c r="A186">
        <v>197281</v>
      </c>
      <c r="B186" t="s">
        <v>76</v>
      </c>
      <c r="C186" t="s">
        <v>227</v>
      </c>
      <c r="D186">
        <v>2017</v>
      </c>
      <c r="E186" t="s">
        <v>56</v>
      </c>
      <c r="F186" t="s">
        <v>57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107</v>
      </c>
      <c r="N186">
        <v>669</v>
      </c>
      <c r="O186">
        <v>7</v>
      </c>
      <c r="P186">
        <v>12</v>
      </c>
      <c r="Q186">
        <v>1</v>
      </c>
      <c r="R186">
        <v>112</v>
      </c>
      <c r="AA186">
        <v>15.5</v>
      </c>
      <c r="AB186">
        <v>16</v>
      </c>
      <c r="AC186">
        <v>2</v>
      </c>
      <c r="AD186">
        <v>0</v>
      </c>
      <c r="AE186">
        <v>31</v>
      </c>
      <c r="AK186">
        <v>2</v>
      </c>
      <c r="AL186">
        <v>1</v>
      </c>
    </row>
    <row r="187" spans="1:38" x14ac:dyDescent="0.3">
      <c r="A187">
        <v>197281</v>
      </c>
      <c r="B187" t="s">
        <v>76</v>
      </c>
      <c r="C187" t="s">
        <v>227</v>
      </c>
      <c r="D187">
        <v>2018</v>
      </c>
      <c r="E187" t="s">
        <v>56</v>
      </c>
      <c r="F187" t="s">
        <v>57</v>
      </c>
      <c r="M187">
        <v>78</v>
      </c>
      <c r="N187">
        <v>440</v>
      </c>
      <c r="O187">
        <v>6</v>
      </c>
      <c r="P187">
        <v>11</v>
      </c>
      <c r="Q187">
        <v>0</v>
      </c>
      <c r="R187">
        <v>71</v>
      </c>
    </row>
    <row r="188" spans="1:38" x14ac:dyDescent="0.3">
      <c r="A188">
        <v>197281</v>
      </c>
      <c r="B188" t="s">
        <v>76</v>
      </c>
      <c r="C188" t="s">
        <v>227</v>
      </c>
      <c r="D188">
        <v>2019</v>
      </c>
      <c r="E188" t="s">
        <v>228</v>
      </c>
      <c r="F188" t="s">
        <v>229</v>
      </c>
      <c r="M188">
        <v>124</v>
      </c>
      <c r="N188">
        <v>672</v>
      </c>
      <c r="O188">
        <v>5</v>
      </c>
      <c r="P188">
        <v>17</v>
      </c>
      <c r="Q188">
        <v>0</v>
      </c>
      <c r="R188">
        <v>87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Z188">
        <v>0</v>
      </c>
    </row>
    <row r="189" spans="1:38" x14ac:dyDescent="0.3">
      <c r="A189">
        <v>197409</v>
      </c>
      <c r="B189" t="s">
        <v>100</v>
      </c>
      <c r="C189" t="s">
        <v>230</v>
      </c>
      <c r="D189">
        <v>2017</v>
      </c>
      <c r="E189" t="s">
        <v>92</v>
      </c>
      <c r="F189" t="s">
        <v>93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Z189">
        <v>0</v>
      </c>
    </row>
    <row r="190" spans="1:38" x14ac:dyDescent="0.3">
      <c r="A190">
        <v>258824</v>
      </c>
      <c r="B190" t="s">
        <v>46</v>
      </c>
      <c r="C190" t="s">
        <v>231</v>
      </c>
      <c r="D190">
        <v>2017</v>
      </c>
      <c r="E190" t="s">
        <v>232</v>
      </c>
      <c r="F190" t="s">
        <v>233</v>
      </c>
      <c r="P190">
        <v>6</v>
      </c>
      <c r="Q190">
        <v>0</v>
      </c>
      <c r="R190">
        <v>102</v>
      </c>
      <c r="AF190">
        <v>6.5</v>
      </c>
      <c r="AG190">
        <v>41</v>
      </c>
      <c r="AH190">
        <v>24</v>
      </c>
      <c r="AI190">
        <v>0</v>
      </c>
      <c r="AJ190">
        <v>156</v>
      </c>
      <c r="AK190">
        <v>1</v>
      </c>
      <c r="AL190">
        <v>1</v>
      </c>
    </row>
    <row r="191" spans="1:38" x14ac:dyDescent="0.3">
      <c r="A191">
        <v>258824</v>
      </c>
      <c r="B191" t="s">
        <v>46</v>
      </c>
      <c r="C191" t="s">
        <v>231</v>
      </c>
      <c r="D191">
        <v>2018</v>
      </c>
      <c r="E191" t="s">
        <v>232</v>
      </c>
      <c r="F191" t="s">
        <v>233</v>
      </c>
      <c r="M191">
        <v>5</v>
      </c>
      <c r="N191">
        <v>20</v>
      </c>
      <c r="O191">
        <v>0</v>
      </c>
      <c r="P191">
        <v>49</v>
      </c>
      <c r="Q191">
        <v>2</v>
      </c>
      <c r="R191">
        <v>571</v>
      </c>
      <c r="S191">
        <v>0</v>
      </c>
      <c r="T191">
        <v>0</v>
      </c>
      <c r="U191">
        <v>0</v>
      </c>
      <c r="V191">
        <v>4</v>
      </c>
      <c r="W191">
        <v>4</v>
      </c>
      <c r="X191">
        <v>0</v>
      </c>
      <c r="Z191">
        <v>0</v>
      </c>
      <c r="AF191">
        <v>9.3000000000000007</v>
      </c>
      <c r="AG191">
        <v>52</v>
      </c>
      <c r="AH191">
        <v>21</v>
      </c>
      <c r="AI191">
        <v>0</v>
      </c>
      <c r="AJ191">
        <v>196</v>
      </c>
    </row>
    <row r="192" spans="1:38" x14ac:dyDescent="0.3">
      <c r="A192">
        <v>258824</v>
      </c>
      <c r="B192" t="s">
        <v>46</v>
      </c>
      <c r="C192" t="s">
        <v>231</v>
      </c>
      <c r="D192">
        <v>2019</v>
      </c>
      <c r="E192" t="s">
        <v>232</v>
      </c>
      <c r="F192" t="s">
        <v>233</v>
      </c>
      <c r="M192">
        <v>2</v>
      </c>
      <c r="N192">
        <v>2</v>
      </c>
      <c r="O192">
        <v>0</v>
      </c>
      <c r="P192">
        <v>41</v>
      </c>
      <c r="Q192">
        <v>4</v>
      </c>
      <c r="R192">
        <v>456</v>
      </c>
      <c r="AA192">
        <v>0</v>
      </c>
      <c r="AB192">
        <v>0</v>
      </c>
      <c r="AC192">
        <v>3</v>
      </c>
      <c r="AD192">
        <v>0</v>
      </c>
      <c r="AE192">
        <v>0</v>
      </c>
      <c r="AF192">
        <v>9</v>
      </c>
      <c r="AG192">
        <v>46</v>
      </c>
      <c r="AH192">
        <v>20</v>
      </c>
      <c r="AI192">
        <v>0</v>
      </c>
      <c r="AJ192">
        <v>180</v>
      </c>
      <c r="AK192">
        <v>1</v>
      </c>
      <c r="AL192">
        <v>1</v>
      </c>
    </row>
    <row r="193" spans="1:38" x14ac:dyDescent="0.3">
      <c r="A193">
        <v>258825</v>
      </c>
      <c r="B193" t="s">
        <v>76</v>
      </c>
      <c r="C193" t="s">
        <v>234</v>
      </c>
      <c r="D193">
        <v>2017</v>
      </c>
      <c r="E193" t="s">
        <v>232</v>
      </c>
      <c r="F193" t="s">
        <v>233</v>
      </c>
      <c r="M193">
        <v>44</v>
      </c>
      <c r="N193">
        <v>232</v>
      </c>
      <c r="O193">
        <v>3</v>
      </c>
      <c r="P193">
        <v>6</v>
      </c>
      <c r="Q193">
        <v>0</v>
      </c>
      <c r="R193">
        <v>12</v>
      </c>
      <c r="S193">
        <v>0</v>
      </c>
      <c r="T193">
        <v>0</v>
      </c>
      <c r="U193">
        <v>0</v>
      </c>
      <c r="V193">
        <v>4</v>
      </c>
      <c r="W193">
        <v>7</v>
      </c>
      <c r="X193">
        <v>0</v>
      </c>
      <c r="Z193">
        <v>0</v>
      </c>
      <c r="AA193">
        <v>9</v>
      </c>
      <c r="AB193">
        <v>16</v>
      </c>
      <c r="AC193">
        <v>2</v>
      </c>
      <c r="AD193">
        <v>0</v>
      </c>
      <c r="AE193">
        <v>18</v>
      </c>
    </row>
    <row r="194" spans="1:38" x14ac:dyDescent="0.3">
      <c r="A194">
        <v>258825</v>
      </c>
      <c r="B194" t="s">
        <v>76</v>
      </c>
      <c r="C194" t="s">
        <v>234</v>
      </c>
      <c r="D194">
        <v>2018</v>
      </c>
      <c r="E194" t="s">
        <v>232</v>
      </c>
      <c r="F194" t="s">
        <v>233</v>
      </c>
      <c r="M194">
        <v>83</v>
      </c>
      <c r="N194">
        <v>392</v>
      </c>
      <c r="O194">
        <v>3</v>
      </c>
      <c r="P194">
        <v>6</v>
      </c>
      <c r="Q194">
        <v>1</v>
      </c>
      <c r="R194">
        <v>157</v>
      </c>
    </row>
    <row r="195" spans="1:38" x14ac:dyDescent="0.3">
      <c r="A195">
        <v>258825</v>
      </c>
      <c r="B195" t="s">
        <v>76</v>
      </c>
      <c r="C195" t="s">
        <v>234</v>
      </c>
      <c r="D195">
        <v>2019</v>
      </c>
      <c r="E195" t="s">
        <v>232</v>
      </c>
      <c r="F195" t="s">
        <v>233</v>
      </c>
      <c r="M195">
        <v>144</v>
      </c>
      <c r="N195">
        <v>857</v>
      </c>
      <c r="O195">
        <v>6</v>
      </c>
      <c r="P195">
        <v>15</v>
      </c>
      <c r="Q195">
        <v>1</v>
      </c>
      <c r="R195">
        <v>104</v>
      </c>
      <c r="S195">
        <v>0</v>
      </c>
      <c r="T195">
        <v>0</v>
      </c>
      <c r="U195">
        <v>0</v>
      </c>
      <c r="V195">
        <v>2</v>
      </c>
      <c r="W195">
        <v>2</v>
      </c>
      <c r="X195">
        <v>0</v>
      </c>
      <c r="Z195">
        <v>0</v>
      </c>
    </row>
    <row r="196" spans="1:38" x14ac:dyDescent="0.3">
      <c r="A196">
        <v>259226</v>
      </c>
      <c r="B196" t="s">
        <v>76</v>
      </c>
      <c r="C196" t="s">
        <v>235</v>
      </c>
      <c r="D196">
        <v>2018</v>
      </c>
      <c r="E196" t="s">
        <v>236</v>
      </c>
      <c r="F196" t="s">
        <v>237</v>
      </c>
      <c r="M196">
        <v>22</v>
      </c>
      <c r="N196">
        <v>184</v>
      </c>
      <c r="O196">
        <v>2</v>
      </c>
      <c r="P196">
        <v>1</v>
      </c>
      <c r="Q196">
        <v>0</v>
      </c>
      <c r="R196">
        <v>11</v>
      </c>
    </row>
    <row r="197" spans="1:38" x14ac:dyDescent="0.3">
      <c r="A197">
        <v>259226</v>
      </c>
      <c r="B197" t="s">
        <v>76</v>
      </c>
      <c r="C197" t="s">
        <v>235</v>
      </c>
      <c r="D197">
        <v>2019</v>
      </c>
      <c r="E197" t="s">
        <v>236</v>
      </c>
      <c r="F197" t="s">
        <v>237</v>
      </c>
      <c r="M197">
        <v>13</v>
      </c>
      <c r="N197">
        <v>16</v>
      </c>
      <c r="O197">
        <v>0</v>
      </c>
      <c r="P197">
        <v>2</v>
      </c>
      <c r="Q197">
        <v>0</v>
      </c>
      <c r="R197">
        <v>10</v>
      </c>
    </row>
    <row r="198" spans="1:38" x14ac:dyDescent="0.3">
      <c r="A198">
        <v>259353</v>
      </c>
      <c r="B198" t="s">
        <v>46</v>
      </c>
      <c r="C198" t="s">
        <v>238</v>
      </c>
      <c r="D198">
        <v>2017</v>
      </c>
      <c r="E198" t="s">
        <v>239</v>
      </c>
      <c r="F198" t="s">
        <v>240</v>
      </c>
      <c r="G198">
        <v>4</v>
      </c>
      <c r="H198">
        <v>2</v>
      </c>
      <c r="I198">
        <v>-5</v>
      </c>
      <c r="J198">
        <v>0.5</v>
      </c>
      <c r="K198">
        <v>0</v>
      </c>
      <c r="L198">
        <v>0</v>
      </c>
      <c r="M198">
        <v>25</v>
      </c>
      <c r="N198">
        <v>188</v>
      </c>
      <c r="O198">
        <v>1</v>
      </c>
      <c r="P198">
        <v>46</v>
      </c>
      <c r="Q198">
        <v>4</v>
      </c>
      <c r="R198">
        <v>668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0.5</v>
      </c>
      <c r="Z198">
        <v>2</v>
      </c>
      <c r="AA198">
        <v>24.9</v>
      </c>
      <c r="AB198">
        <v>98</v>
      </c>
      <c r="AC198">
        <v>13</v>
      </c>
      <c r="AD198">
        <v>1</v>
      </c>
      <c r="AE198">
        <v>324</v>
      </c>
      <c r="AF198">
        <v>9.9</v>
      </c>
      <c r="AG198">
        <v>72</v>
      </c>
      <c r="AH198">
        <v>11</v>
      </c>
      <c r="AI198">
        <v>1</v>
      </c>
      <c r="AJ198">
        <v>109</v>
      </c>
      <c r="AK198">
        <v>3</v>
      </c>
      <c r="AL198">
        <v>1</v>
      </c>
    </row>
    <row r="199" spans="1:38" x14ac:dyDescent="0.3">
      <c r="A199">
        <v>259353</v>
      </c>
      <c r="B199" t="s">
        <v>46</v>
      </c>
      <c r="C199" t="s">
        <v>238</v>
      </c>
      <c r="D199">
        <v>2018</v>
      </c>
      <c r="E199" t="s">
        <v>239</v>
      </c>
      <c r="F199" t="s">
        <v>240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19</v>
      </c>
      <c r="N199">
        <v>84</v>
      </c>
      <c r="O199">
        <v>1</v>
      </c>
      <c r="P199">
        <v>33</v>
      </c>
      <c r="Q199">
        <v>3</v>
      </c>
      <c r="R199">
        <v>368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Z199">
        <v>3</v>
      </c>
      <c r="AA199">
        <v>26.5</v>
      </c>
      <c r="AB199">
        <v>99</v>
      </c>
      <c r="AC199">
        <v>33</v>
      </c>
      <c r="AD199">
        <v>1</v>
      </c>
      <c r="AE199">
        <v>873</v>
      </c>
      <c r="AF199">
        <v>13.1</v>
      </c>
      <c r="AG199">
        <v>73</v>
      </c>
      <c r="AH199">
        <v>19</v>
      </c>
      <c r="AI199">
        <v>2</v>
      </c>
      <c r="AJ199">
        <v>249</v>
      </c>
      <c r="AK199">
        <v>3</v>
      </c>
      <c r="AL199">
        <v>2</v>
      </c>
    </row>
    <row r="200" spans="1:38" x14ac:dyDescent="0.3">
      <c r="A200">
        <v>259353</v>
      </c>
      <c r="B200" t="s">
        <v>46</v>
      </c>
      <c r="C200" t="s">
        <v>238</v>
      </c>
      <c r="D200">
        <v>2019</v>
      </c>
      <c r="E200" t="s">
        <v>239</v>
      </c>
      <c r="F200" t="s">
        <v>240</v>
      </c>
      <c r="M200">
        <v>5</v>
      </c>
      <c r="N200">
        <v>48</v>
      </c>
      <c r="O200">
        <v>0</v>
      </c>
      <c r="P200">
        <v>46</v>
      </c>
      <c r="Q200">
        <v>5</v>
      </c>
      <c r="R200">
        <v>440</v>
      </c>
      <c r="S200">
        <v>0</v>
      </c>
      <c r="T200">
        <v>0</v>
      </c>
      <c r="U200">
        <v>0</v>
      </c>
      <c r="V200">
        <v>3</v>
      </c>
      <c r="W200">
        <v>3</v>
      </c>
      <c r="X200">
        <v>0</v>
      </c>
      <c r="Z200">
        <v>0</v>
      </c>
      <c r="AA200">
        <v>20.5</v>
      </c>
      <c r="AB200">
        <v>55</v>
      </c>
      <c r="AC200">
        <v>27</v>
      </c>
      <c r="AD200">
        <v>0</v>
      </c>
      <c r="AE200">
        <v>554</v>
      </c>
      <c r="AF200">
        <v>6.3</v>
      </c>
      <c r="AG200">
        <v>18</v>
      </c>
      <c r="AH200">
        <v>11</v>
      </c>
      <c r="AI200">
        <v>0</v>
      </c>
      <c r="AJ200">
        <v>69</v>
      </c>
      <c r="AK200">
        <v>4</v>
      </c>
      <c r="AL200">
        <v>1</v>
      </c>
    </row>
    <row r="201" spans="1:38" x14ac:dyDescent="0.3">
      <c r="A201">
        <v>259406</v>
      </c>
      <c r="B201" t="s">
        <v>46</v>
      </c>
      <c r="C201" t="s">
        <v>241</v>
      </c>
      <c r="D201">
        <v>2017</v>
      </c>
      <c r="E201" t="s">
        <v>105</v>
      </c>
      <c r="F201" t="s">
        <v>106</v>
      </c>
      <c r="M201">
        <v>15</v>
      </c>
      <c r="N201">
        <v>86</v>
      </c>
      <c r="O201">
        <v>0</v>
      </c>
      <c r="P201">
        <v>14</v>
      </c>
      <c r="Q201">
        <v>0</v>
      </c>
      <c r="R201">
        <v>125</v>
      </c>
      <c r="AK201">
        <v>1</v>
      </c>
      <c r="AL201">
        <v>1</v>
      </c>
    </row>
    <row r="202" spans="1:38" x14ac:dyDescent="0.3">
      <c r="A202">
        <v>259406</v>
      </c>
      <c r="B202" t="s">
        <v>46</v>
      </c>
      <c r="C202" t="s">
        <v>241</v>
      </c>
      <c r="D202">
        <v>2018</v>
      </c>
      <c r="E202" t="s">
        <v>105</v>
      </c>
      <c r="F202" t="s">
        <v>106</v>
      </c>
      <c r="M202">
        <v>3</v>
      </c>
      <c r="N202">
        <v>1</v>
      </c>
      <c r="O202">
        <v>0</v>
      </c>
      <c r="P202">
        <v>22</v>
      </c>
      <c r="Q202">
        <v>2</v>
      </c>
      <c r="R202">
        <v>307</v>
      </c>
    </row>
    <row r="203" spans="1:38" x14ac:dyDescent="0.3">
      <c r="A203">
        <v>259406</v>
      </c>
      <c r="B203" t="s">
        <v>46</v>
      </c>
      <c r="C203" t="s">
        <v>241</v>
      </c>
      <c r="D203">
        <v>2019</v>
      </c>
      <c r="E203" t="s">
        <v>105</v>
      </c>
      <c r="F203" t="s">
        <v>106</v>
      </c>
      <c r="P203">
        <v>15</v>
      </c>
      <c r="Q203">
        <v>2</v>
      </c>
      <c r="R203">
        <v>202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Z203">
        <v>0</v>
      </c>
    </row>
    <row r="204" spans="1:38" x14ac:dyDescent="0.3">
      <c r="A204">
        <v>259451</v>
      </c>
      <c r="B204" t="s">
        <v>50</v>
      </c>
      <c r="C204" t="s">
        <v>242</v>
      </c>
      <c r="D204">
        <v>2017</v>
      </c>
      <c r="E204" t="s">
        <v>243</v>
      </c>
      <c r="F204" t="s">
        <v>244</v>
      </c>
      <c r="S204">
        <v>9</v>
      </c>
      <c r="T204">
        <v>0</v>
      </c>
      <c r="U204">
        <v>0</v>
      </c>
      <c r="V204">
        <v>49</v>
      </c>
      <c r="W204">
        <v>63</v>
      </c>
      <c r="X204">
        <v>4.5</v>
      </c>
      <c r="Y204">
        <v>2</v>
      </c>
      <c r="Z204">
        <v>1</v>
      </c>
    </row>
    <row r="205" spans="1:38" x14ac:dyDescent="0.3">
      <c r="A205">
        <v>259451</v>
      </c>
      <c r="B205" t="s">
        <v>50</v>
      </c>
      <c r="C205" t="s">
        <v>242</v>
      </c>
      <c r="D205">
        <v>2018</v>
      </c>
      <c r="E205" t="s">
        <v>243</v>
      </c>
      <c r="F205" t="s">
        <v>244</v>
      </c>
      <c r="S205">
        <v>11</v>
      </c>
      <c r="T205">
        <v>0</v>
      </c>
      <c r="U205">
        <v>0</v>
      </c>
      <c r="V205">
        <v>42</v>
      </c>
      <c r="W205">
        <v>63</v>
      </c>
      <c r="X205">
        <v>1.5</v>
      </c>
      <c r="Y205">
        <v>2</v>
      </c>
      <c r="Z205">
        <v>0</v>
      </c>
    </row>
    <row r="206" spans="1:38" x14ac:dyDescent="0.3">
      <c r="A206">
        <v>259451</v>
      </c>
      <c r="B206" t="s">
        <v>50</v>
      </c>
      <c r="C206" t="s">
        <v>242</v>
      </c>
      <c r="D206">
        <v>2019</v>
      </c>
      <c r="E206" t="s">
        <v>243</v>
      </c>
      <c r="F206" t="s">
        <v>244</v>
      </c>
      <c r="S206">
        <v>13</v>
      </c>
      <c r="T206">
        <v>0</v>
      </c>
      <c r="U206">
        <v>0</v>
      </c>
      <c r="V206">
        <v>31</v>
      </c>
      <c r="W206">
        <v>41</v>
      </c>
      <c r="X206">
        <v>1.5</v>
      </c>
      <c r="Y206">
        <v>1</v>
      </c>
      <c r="Z206">
        <v>0</v>
      </c>
      <c r="AK206">
        <v>0</v>
      </c>
      <c r="AL206">
        <v>0</v>
      </c>
    </row>
    <row r="207" spans="1:38" x14ac:dyDescent="0.3">
      <c r="A207">
        <v>262441</v>
      </c>
      <c r="B207" t="s">
        <v>178</v>
      </c>
      <c r="C207" t="s">
        <v>245</v>
      </c>
      <c r="D207">
        <v>2017</v>
      </c>
      <c r="E207" t="s">
        <v>246</v>
      </c>
      <c r="F207" t="s">
        <v>247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Z207">
        <v>0</v>
      </c>
    </row>
    <row r="208" spans="1:38" x14ac:dyDescent="0.3">
      <c r="A208">
        <v>263230</v>
      </c>
      <c r="B208" t="s">
        <v>46</v>
      </c>
      <c r="C208" t="s">
        <v>248</v>
      </c>
      <c r="D208">
        <v>2017</v>
      </c>
      <c r="E208" t="s">
        <v>249</v>
      </c>
      <c r="F208" t="s">
        <v>250</v>
      </c>
      <c r="P208">
        <v>23</v>
      </c>
      <c r="Q208">
        <v>7</v>
      </c>
      <c r="R208">
        <v>349</v>
      </c>
    </row>
    <row r="209" spans="1:38" x14ac:dyDescent="0.3">
      <c r="A209">
        <v>263230</v>
      </c>
      <c r="B209" t="s">
        <v>46</v>
      </c>
      <c r="C209" t="s">
        <v>248</v>
      </c>
      <c r="D209">
        <v>2018</v>
      </c>
      <c r="E209" t="s">
        <v>249</v>
      </c>
      <c r="F209" t="s">
        <v>250</v>
      </c>
      <c r="P209">
        <v>21</v>
      </c>
      <c r="Q209">
        <v>4</v>
      </c>
      <c r="R209">
        <v>354</v>
      </c>
    </row>
    <row r="210" spans="1:38" x14ac:dyDescent="0.3">
      <c r="A210">
        <v>263230</v>
      </c>
      <c r="B210" t="s">
        <v>46</v>
      </c>
      <c r="C210" t="s">
        <v>248</v>
      </c>
      <c r="D210">
        <v>2019</v>
      </c>
      <c r="E210" t="s">
        <v>249</v>
      </c>
      <c r="F210" t="s">
        <v>250</v>
      </c>
      <c r="P210">
        <v>35</v>
      </c>
      <c r="Q210">
        <v>6</v>
      </c>
      <c r="R210">
        <v>573</v>
      </c>
    </row>
    <row r="211" spans="1:38" x14ac:dyDescent="0.3">
      <c r="A211">
        <v>263288</v>
      </c>
      <c r="B211" t="s">
        <v>76</v>
      </c>
      <c r="C211" t="s">
        <v>251</v>
      </c>
      <c r="D211">
        <v>2017</v>
      </c>
      <c r="E211" t="s">
        <v>228</v>
      </c>
      <c r="F211" t="s">
        <v>229</v>
      </c>
      <c r="M211">
        <v>66</v>
      </c>
      <c r="N211">
        <v>251</v>
      </c>
      <c r="O211">
        <v>2</v>
      </c>
      <c r="P211">
        <v>11</v>
      </c>
      <c r="Q211">
        <v>1</v>
      </c>
      <c r="R211">
        <v>128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Z211">
        <v>0</v>
      </c>
      <c r="AA211">
        <v>21</v>
      </c>
      <c r="AB211">
        <v>21</v>
      </c>
      <c r="AC211">
        <v>1</v>
      </c>
      <c r="AD211">
        <v>0</v>
      </c>
      <c r="AE211">
        <v>21</v>
      </c>
    </row>
    <row r="212" spans="1:38" x14ac:dyDescent="0.3">
      <c r="A212">
        <v>263288</v>
      </c>
      <c r="B212" t="s">
        <v>76</v>
      </c>
      <c r="C212" t="s">
        <v>251</v>
      </c>
      <c r="D212">
        <v>2018</v>
      </c>
      <c r="E212" t="s">
        <v>228</v>
      </c>
      <c r="F212" t="s">
        <v>229</v>
      </c>
      <c r="M212">
        <v>123</v>
      </c>
      <c r="N212">
        <v>654</v>
      </c>
      <c r="O212">
        <v>4</v>
      </c>
      <c r="P212">
        <v>14</v>
      </c>
      <c r="Q212">
        <v>1</v>
      </c>
      <c r="R212">
        <v>133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Z212">
        <v>0</v>
      </c>
      <c r="AK212">
        <v>3</v>
      </c>
      <c r="AL212">
        <v>3</v>
      </c>
    </row>
    <row r="213" spans="1:38" x14ac:dyDescent="0.3">
      <c r="A213">
        <v>263288</v>
      </c>
      <c r="B213" t="s">
        <v>76</v>
      </c>
      <c r="C213" t="s">
        <v>251</v>
      </c>
      <c r="D213">
        <v>2019</v>
      </c>
      <c r="E213" t="s">
        <v>228</v>
      </c>
      <c r="F213" t="s">
        <v>229</v>
      </c>
      <c r="M213">
        <v>106</v>
      </c>
      <c r="N213">
        <v>498</v>
      </c>
      <c r="O213">
        <v>4</v>
      </c>
      <c r="P213">
        <v>22</v>
      </c>
      <c r="Q213">
        <v>0</v>
      </c>
      <c r="R213">
        <v>167</v>
      </c>
      <c r="AK213">
        <v>2</v>
      </c>
      <c r="AL213">
        <v>1</v>
      </c>
    </row>
    <row r="214" spans="1:38" x14ac:dyDescent="0.3">
      <c r="A214">
        <v>263708</v>
      </c>
      <c r="B214" t="s">
        <v>142</v>
      </c>
      <c r="C214" t="s">
        <v>252</v>
      </c>
      <c r="D214">
        <v>2017</v>
      </c>
      <c r="E214" t="s">
        <v>223</v>
      </c>
      <c r="F214" t="s">
        <v>224</v>
      </c>
      <c r="P214">
        <v>6</v>
      </c>
      <c r="Q214">
        <v>0</v>
      </c>
      <c r="R214">
        <v>56</v>
      </c>
      <c r="AA214">
        <v>5.5</v>
      </c>
      <c r="AB214">
        <v>11</v>
      </c>
      <c r="AC214">
        <v>2</v>
      </c>
      <c r="AD214">
        <v>0</v>
      </c>
      <c r="AE214">
        <v>11</v>
      </c>
    </row>
    <row r="215" spans="1:38" x14ac:dyDescent="0.3">
      <c r="A215">
        <v>263708</v>
      </c>
      <c r="B215" t="s">
        <v>142</v>
      </c>
      <c r="C215" t="s">
        <v>252</v>
      </c>
      <c r="D215">
        <v>2018</v>
      </c>
      <c r="E215" t="s">
        <v>223</v>
      </c>
      <c r="F215" t="s">
        <v>224</v>
      </c>
      <c r="P215">
        <v>16</v>
      </c>
      <c r="Q215">
        <v>2</v>
      </c>
      <c r="R215">
        <v>178</v>
      </c>
      <c r="AA215">
        <v>14</v>
      </c>
      <c r="AB215">
        <v>14</v>
      </c>
      <c r="AC215">
        <v>1</v>
      </c>
      <c r="AD215">
        <v>0</v>
      </c>
      <c r="AE215">
        <v>14</v>
      </c>
    </row>
    <row r="216" spans="1:38" x14ac:dyDescent="0.3">
      <c r="A216">
        <v>263708</v>
      </c>
      <c r="B216" t="s">
        <v>142</v>
      </c>
      <c r="C216" t="s">
        <v>252</v>
      </c>
      <c r="D216">
        <v>2019</v>
      </c>
      <c r="E216" t="s">
        <v>223</v>
      </c>
      <c r="F216" t="s">
        <v>224</v>
      </c>
      <c r="P216">
        <v>18</v>
      </c>
      <c r="Q216">
        <v>0</v>
      </c>
      <c r="R216">
        <v>154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Z216">
        <v>0</v>
      </c>
    </row>
    <row r="217" spans="1:38" x14ac:dyDescent="0.3">
      <c r="A217">
        <v>266273</v>
      </c>
      <c r="B217" t="s">
        <v>178</v>
      </c>
      <c r="C217" t="s">
        <v>253</v>
      </c>
      <c r="D217">
        <v>2019</v>
      </c>
      <c r="E217" t="s">
        <v>95</v>
      </c>
      <c r="F217" t="s">
        <v>96</v>
      </c>
      <c r="M217">
        <v>1</v>
      </c>
      <c r="N217">
        <v>-9</v>
      </c>
      <c r="O217">
        <v>0</v>
      </c>
      <c r="AK217">
        <v>1</v>
      </c>
      <c r="AL217">
        <v>0</v>
      </c>
    </row>
    <row r="218" spans="1:38" x14ac:dyDescent="0.3">
      <c r="A218">
        <v>279737</v>
      </c>
      <c r="B218" t="s">
        <v>38</v>
      </c>
      <c r="C218" t="s">
        <v>254</v>
      </c>
      <c r="D218">
        <v>2017</v>
      </c>
      <c r="E218" t="s">
        <v>176</v>
      </c>
      <c r="F218" t="s">
        <v>177</v>
      </c>
      <c r="S218">
        <v>0</v>
      </c>
      <c r="T218">
        <v>0</v>
      </c>
      <c r="U218">
        <v>1</v>
      </c>
      <c r="V218">
        <v>1</v>
      </c>
      <c r="W218">
        <v>4</v>
      </c>
      <c r="X218">
        <v>1</v>
      </c>
      <c r="Z218">
        <v>0</v>
      </c>
      <c r="AK218">
        <v>0</v>
      </c>
      <c r="AL218">
        <v>0</v>
      </c>
    </row>
    <row r="219" spans="1:38" x14ac:dyDescent="0.3">
      <c r="A219">
        <v>279737</v>
      </c>
      <c r="B219" t="s">
        <v>38</v>
      </c>
      <c r="C219" t="s">
        <v>254</v>
      </c>
      <c r="D219">
        <v>2018</v>
      </c>
      <c r="E219" t="s">
        <v>176</v>
      </c>
      <c r="F219" t="s">
        <v>177</v>
      </c>
      <c r="S219">
        <v>1</v>
      </c>
      <c r="T219">
        <v>1</v>
      </c>
      <c r="U219">
        <v>2</v>
      </c>
      <c r="V219">
        <v>19</v>
      </c>
      <c r="W219">
        <v>38</v>
      </c>
      <c r="X219">
        <v>7</v>
      </c>
      <c r="Z219">
        <v>0</v>
      </c>
    </row>
    <row r="220" spans="1:38" x14ac:dyDescent="0.3">
      <c r="A220">
        <v>279737</v>
      </c>
      <c r="B220" t="s">
        <v>38</v>
      </c>
      <c r="C220" t="s">
        <v>254</v>
      </c>
      <c r="D220">
        <v>2019</v>
      </c>
      <c r="E220" t="s">
        <v>176</v>
      </c>
      <c r="F220" t="s">
        <v>177</v>
      </c>
      <c r="S220">
        <v>1</v>
      </c>
      <c r="T220">
        <v>0</v>
      </c>
      <c r="U220">
        <v>2</v>
      </c>
      <c r="V220">
        <v>9</v>
      </c>
      <c r="W220">
        <v>38</v>
      </c>
      <c r="X220">
        <v>7</v>
      </c>
      <c r="Z220">
        <v>0</v>
      </c>
    </row>
    <row r="221" spans="1:38" x14ac:dyDescent="0.3">
      <c r="A221">
        <v>279801</v>
      </c>
      <c r="B221" t="s">
        <v>69</v>
      </c>
      <c r="C221" t="s">
        <v>255</v>
      </c>
      <c r="D221">
        <v>2017</v>
      </c>
      <c r="E221" t="s">
        <v>136</v>
      </c>
      <c r="F221" t="s">
        <v>137</v>
      </c>
      <c r="S221">
        <v>1</v>
      </c>
      <c r="T221">
        <v>0</v>
      </c>
      <c r="U221">
        <v>0</v>
      </c>
      <c r="V221">
        <v>2</v>
      </c>
      <c r="W221">
        <v>3</v>
      </c>
      <c r="X221">
        <v>1</v>
      </c>
      <c r="Z221">
        <v>0</v>
      </c>
    </row>
    <row r="222" spans="1:38" x14ac:dyDescent="0.3">
      <c r="A222">
        <v>279801</v>
      </c>
      <c r="B222" t="s">
        <v>69</v>
      </c>
      <c r="C222" t="s">
        <v>255</v>
      </c>
      <c r="D222">
        <v>2018</v>
      </c>
      <c r="E222" t="s">
        <v>136</v>
      </c>
      <c r="F222" t="s">
        <v>137</v>
      </c>
      <c r="S222">
        <v>1</v>
      </c>
      <c r="T222">
        <v>2</v>
      </c>
      <c r="U222">
        <v>3</v>
      </c>
      <c r="V222">
        <v>8</v>
      </c>
      <c r="W222">
        <v>13</v>
      </c>
      <c r="X222">
        <v>4</v>
      </c>
      <c r="Z222">
        <v>0</v>
      </c>
      <c r="AF222">
        <v>6</v>
      </c>
      <c r="AG222">
        <v>6</v>
      </c>
      <c r="AH222">
        <v>1</v>
      </c>
      <c r="AI222">
        <v>0</v>
      </c>
      <c r="AJ222">
        <v>6</v>
      </c>
    </row>
    <row r="223" spans="1:38" x14ac:dyDescent="0.3">
      <c r="A223">
        <v>279842</v>
      </c>
      <c r="B223" t="s">
        <v>142</v>
      </c>
      <c r="C223" t="s">
        <v>256</v>
      </c>
      <c r="D223">
        <v>2017</v>
      </c>
      <c r="E223" t="s">
        <v>112</v>
      </c>
      <c r="F223" t="s">
        <v>113</v>
      </c>
      <c r="P223">
        <v>4</v>
      </c>
      <c r="Q223">
        <v>2</v>
      </c>
      <c r="R223">
        <v>65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Z223">
        <v>0</v>
      </c>
    </row>
    <row r="224" spans="1:38" x14ac:dyDescent="0.3">
      <c r="A224">
        <v>279842</v>
      </c>
      <c r="B224" t="s">
        <v>142</v>
      </c>
      <c r="C224" t="s">
        <v>256</v>
      </c>
      <c r="D224">
        <v>2018</v>
      </c>
      <c r="E224" t="s">
        <v>112</v>
      </c>
      <c r="F224" t="s">
        <v>113</v>
      </c>
      <c r="P224">
        <v>9</v>
      </c>
      <c r="Q224">
        <v>0</v>
      </c>
      <c r="R224">
        <v>121</v>
      </c>
      <c r="AK224">
        <v>1</v>
      </c>
      <c r="AL224">
        <v>1</v>
      </c>
    </row>
    <row r="225" spans="1:38" x14ac:dyDescent="0.3">
      <c r="A225">
        <v>279842</v>
      </c>
      <c r="B225" t="s">
        <v>142</v>
      </c>
      <c r="C225" t="s">
        <v>256</v>
      </c>
      <c r="D225">
        <v>2019</v>
      </c>
      <c r="E225" t="s">
        <v>112</v>
      </c>
      <c r="F225" t="s">
        <v>113</v>
      </c>
      <c r="P225">
        <v>4</v>
      </c>
      <c r="Q225">
        <v>1</v>
      </c>
      <c r="R225">
        <v>23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Z225">
        <v>0</v>
      </c>
    </row>
    <row r="226" spans="1:38" x14ac:dyDescent="0.3">
      <c r="A226">
        <v>279842</v>
      </c>
      <c r="B226" t="s">
        <v>142</v>
      </c>
      <c r="C226" t="s">
        <v>256</v>
      </c>
      <c r="D226">
        <v>2022</v>
      </c>
      <c r="E226" t="s">
        <v>112</v>
      </c>
      <c r="F226" t="s">
        <v>113</v>
      </c>
      <c r="M226">
        <v>1</v>
      </c>
      <c r="N226">
        <v>5</v>
      </c>
      <c r="O226">
        <v>0</v>
      </c>
      <c r="P226">
        <v>4</v>
      </c>
      <c r="Q226">
        <v>2</v>
      </c>
      <c r="R226">
        <v>30</v>
      </c>
    </row>
    <row r="227" spans="1:38" x14ac:dyDescent="0.3">
      <c r="A227">
        <v>280026</v>
      </c>
      <c r="B227" t="s">
        <v>42</v>
      </c>
      <c r="C227" t="s">
        <v>257</v>
      </c>
      <c r="D227">
        <v>2017</v>
      </c>
      <c r="E227" t="s">
        <v>152</v>
      </c>
      <c r="F227" t="s">
        <v>153</v>
      </c>
      <c r="S227">
        <v>2</v>
      </c>
      <c r="T227">
        <v>1</v>
      </c>
      <c r="U227">
        <v>0</v>
      </c>
      <c r="V227">
        <v>34</v>
      </c>
      <c r="W227">
        <v>64</v>
      </c>
      <c r="X227">
        <v>1.5</v>
      </c>
      <c r="Y227">
        <v>3</v>
      </c>
      <c r="Z227">
        <v>0</v>
      </c>
    </row>
    <row r="228" spans="1:38" x14ac:dyDescent="0.3">
      <c r="A228">
        <v>280026</v>
      </c>
      <c r="B228" t="s">
        <v>42</v>
      </c>
      <c r="C228" t="s">
        <v>257</v>
      </c>
      <c r="D228">
        <v>2018</v>
      </c>
      <c r="E228" t="s">
        <v>152</v>
      </c>
      <c r="F228" t="s">
        <v>153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Z228">
        <v>0</v>
      </c>
    </row>
    <row r="229" spans="1:38" x14ac:dyDescent="0.3">
      <c r="A229">
        <v>280026</v>
      </c>
      <c r="B229" t="s">
        <v>42</v>
      </c>
      <c r="C229" t="s">
        <v>257</v>
      </c>
      <c r="D229">
        <v>2020</v>
      </c>
      <c r="E229" t="s">
        <v>102</v>
      </c>
      <c r="F229" t="s">
        <v>103</v>
      </c>
      <c r="S229">
        <v>2</v>
      </c>
      <c r="T229">
        <v>0</v>
      </c>
      <c r="U229">
        <v>0</v>
      </c>
      <c r="V229">
        <v>7</v>
      </c>
      <c r="W229">
        <v>14</v>
      </c>
      <c r="X229">
        <v>1</v>
      </c>
      <c r="Z229">
        <v>0</v>
      </c>
    </row>
    <row r="230" spans="1:38" x14ac:dyDescent="0.3">
      <c r="A230">
        <v>280026</v>
      </c>
      <c r="B230" t="s">
        <v>42</v>
      </c>
      <c r="C230" t="s">
        <v>257</v>
      </c>
      <c r="D230">
        <v>2021</v>
      </c>
      <c r="E230" t="s">
        <v>102</v>
      </c>
      <c r="F230" t="s">
        <v>103</v>
      </c>
      <c r="S230">
        <v>0</v>
      </c>
      <c r="T230">
        <v>0</v>
      </c>
      <c r="U230">
        <v>0</v>
      </c>
      <c r="V230">
        <v>16</v>
      </c>
      <c r="W230">
        <v>20</v>
      </c>
      <c r="X230">
        <v>1</v>
      </c>
      <c r="Y230">
        <v>3</v>
      </c>
      <c r="Z230">
        <v>1</v>
      </c>
    </row>
    <row r="231" spans="1:38" x14ac:dyDescent="0.3">
      <c r="A231">
        <v>280026</v>
      </c>
      <c r="B231" t="s">
        <v>42</v>
      </c>
      <c r="C231" t="s">
        <v>257</v>
      </c>
      <c r="D231">
        <v>2022</v>
      </c>
      <c r="E231" t="s">
        <v>102</v>
      </c>
      <c r="F231" t="s">
        <v>103</v>
      </c>
      <c r="S231">
        <v>6</v>
      </c>
      <c r="T231">
        <v>0</v>
      </c>
      <c r="U231">
        <v>1</v>
      </c>
      <c r="V231">
        <v>45</v>
      </c>
      <c r="W231">
        <v>67</v>
      </c>
      <c r="X231">
        <v>1.5</v>
      </c>
      <c r="Y231">
        <v>2</v>
      </c>
      <c r="Z231">
        <v>0</v>
      </c>
    </row>
    <row r="232" spans="1:38" x14ac:dyDescent="0.3">
      <c r="A232">
        <v>280037</v>
      </c>
      <c r="B232" t="s">
        <v>46</v>
      </c>
      <c r="C232" t="s">
        <v>258</v>
      </c>
      <c r="D232">
        <v>2017</v>
      </c>
      <c r="E232" t="s">
        <v>259</v>
      </c>
      <c r="F232" t="s">
        <v>260</v>
      </c>
      <c r="M232">
        <v>1</v>
      </c>
      <c r="N232">
        <v>6</v>
      </c>
      <c r="O232">
        <v>0</v>
      </c>
      <c r="P232">
        <v>27</v>
      </c>
      <c r="Q232">
        <v>0</v>
      </c>
      <c r="R232">
        <v>278</v>
      </c>
      <c r="AA232">
        <v>25.4</v>
      </c>
      <c r="AB232">
        <v>81</v>
      </c>
      <c r="AC232">
        <v>7</v>
      </c>
      <c r="AD232">
        <v>0</v>
      </c>
      <c r="AE232">
        <v>178</v>
      </c>
      <c r="AK232">
        <v>1</v>
      </c>
      <c r="AL232">
        <v>1</v>
      </c>
    </row>
    <row r="233" spans="1:38" x14ac:dyDescent="0.3">
      <c r="A233">
        <v>280037</v>
      </c>
      <c r="B233" t="s">
        <v>46</v>
      </c>
      <c r="C233" t="s">
        <v>258</v>
      </c>
      <c r="D233">
        <v>2018</v>
      </c>
      <c r="E233" t="s">
        <v>259</v>
      </c>
      <c r="F233" t="s">
        <v>260</v>
      </c>
      <c r="P233">
        <v>26</v>
      </c>
      <c r="Q233">
        <v>1</v>
      </c>
      <c r="R233">
        <v>415</v>
      </c>
      <c r="AK233">
        <v>1</v>
      </c>
      <c r="AL233">
        <v>1</v>
      </c>
    </row>
    <row r="234" spans="1:38" x14ac:dyDescent="0.3">
      <c r="A234">
        <v>280037</v>
      </c>
      <c r="B234" t="s">
        <v>46</v>
      </c>
      <c r="C234" t="s">
        <v>258</v>
      </c>
      <c r="D234">
        <v>2019</v>
      </c>
      <c r="E234" t="s">
        <v>259</v>
      </c>
      <c r="F234" t="s">
        <v>260</v>
      </c>
      <c r="P234">
        <v>18</v>
      </c>
      <c r="Q234">
        <v>0</v>
      </c>
      <c r="R234">
        <v>208</v>
      </c>
      <c r="AK234">
        <v>1</v>
      </c>
      <c r="AL234">
        <v>1</v>
      </c>
    </row>
    <row r="235" spans="1:38" x14ac:dyDescent="0.3">
      <c r="A235">
        <v>280153</v>
      </c>
      <c r="B235" t="s">
        <v>76</v>
      </c>
      <c r="C235" t="s">
        <v>261</v>
      </c>
      <c r="D235">
        <v>2017</v>
      </c>
      <c r="E235" t="s">
        <v>262</v>
      </c>
      <c r="F235" t="s">
        <v>263</v>
      </c>
      <c r="M235">
        <v>151</v>
      </c>
      <c r="N235">
        <v>627</v>
      </c>
      <c r="O235">
        <v>6</v>
      </c>
      <c r="P235">
        <v>14</v>
      </c>
      <c r="Q235">
        <v>0</v>
      </c>
      <c r="R235">
        <v>143</v>
      </c>
      <c r="AA235">
        <v>15.3</v>
      </c>
      <c r="AB235">
        <v>22</v>
      </c>
      <c r="AC235">
        <v>3</v>
      </c>
      <c r="AD235">
        <v>0</v>
      </c>
      <c r="AE235">
        <v>46</v>
      </c>
      <c r="AK235">
        <v>2</v>
      </c>
      <c r="AL235">
        <v>0</v>
      </c>
    </row>
    <row r="236" spans="1:38" x14ac:dyDescent="0.3">
      <c r="A236">
        <v>280153</v>
      </c>
      <c r="B236" t="s">
        <v>76</v>
      </c>
      <c r="C236" t="s">
        <v>261</v>
      </c>
      <c r="D236">
        <v>2018</v>
      </c>
      <c r="E236" t="s">
        <v>262</v>
      </c>
      <c r="F236" t="s">
        <v>263</v>
      </c>
      <c r="M236">
        <v>113</v>
      </c>
      <c r="N236">
        <v>436</v>
      </c>
      <c r="O236">
        <v>6</v>
      </c>
      <c r="P236">
        <v>21</v>
      </c>
      <c r="Q236">
        <v>2</v>
      </c>
      <c r="R236">
        <v>286</v>
      </c>
      <c r="S236">
        <v>0</v>
      </c>
      <c r="T236">
        <v>0</v>
      </c>
      <c r="U236">
        <v>0</v>
      </c>
      <c r="V236">
        <v>1</v>
      </c>
      <c r="W236">
        <v>2</v>
      </c>
      <c r="X236">
        <v>0</v>
      </c>
      <c r="Z236">
        <v>0</v>
      </c>
      <c r="AK236">
        <v>1</v>
      </c>
      <c r="AL236">
        <v>0</v>
      </c>
    </row>
    <row r="237" spans="1:38" x14ac:dyDescent="0.3">
      <c r="A237">
        <v>280153</v>
      </c>
      <c r="B237" t="s">
        <v>76</v>
      </c>
      <c r="C237" t="s">
        <v>261</v>
      </c>
      <c r="D237">
        <v>2020</v>
      </c>
      <c r="E237" t="s">
        <v>262</v>
      </c>
      <c r="F237" t="s">
        <v>263</v>
      </c>
      <c r="M237">
        <v>28</v>
      </c>
      <c r="N237">
        <v>145</v>
      </c>
      <c r="O237">
        <v>1</v>
      </c>
      <c r="P237">
        <v>9</v>
      </c>
      <c r="Q237">
        <v>1</v>
      </c>
      <c r="R237">
        <v>85</v>
      </c>
      <c r="AK237">
        <v>1</v>
      </c>
      <c r="AL237">
        <v>1</v>
      </c>
    </row>
    <row r="238" spans="1:38" x14ac:dyDescent="0.3">
      <c r="A238">
        <v>280153</v>
      </c>
      <c r="B238" t="s">
        <v>76</v>
      </c>
      <c r="C238" t="s">
        <v>261</v>
      </c>
      <c r="D238">
        <v>2021</v>
      </c>
      <c r="E238" t="s">
        <v>262</v>
      </c>
      <c r="F238" t="s">
        <v>263</v>
      </c>
      <c r="M238">
        <v>127</v>
      </c>
      <c r="N238">
        <v>710</v>
      </c>
      <c r="O238">
        <v>6</v>
      </c>
      <c r="P238">
        <v>25</v>
      </c>
      <c r="Q238">
        <v>4</v>
      </c>
      <c r="R238">
        <v>324</v>
      </c>
      <c r="AA238">
        <v>17.8</v>
      </c>
      <c r="AB238">
        <v>37</v>
      </c>
      <c r="AC238">
        <v>16</v>
      </c>
      <c r="AD238">
        <v>0</v>
      </c>
      <c r="AE238">
        <v>285</v>
      </c>
    </row>
    <row r="239" spans="1:38" x14ac:dyDescent="0.3">
      <c r="A239">
        <v>280153</v>
      </c>
      <c r="B239" t="s">
        <v>76</v>
      </c>
      <c r="C239" t="s">
        <v>261</v>
      </c>
      <c r="D239">
        <v>2022</v>
      </c>
      <c r="E239" t="s">
        <v>262</v>
      </c>
      <c r="F239" t="s">
        <v>263</v>
      </c>
      <c r="M239">
        <v>260</v>
      </c>
      <c r="N239">
        <v>1371</v>
      </c>
      <c r="O239">
        <v>18</v>
      </c>
      <c r="P239">
        <v>20</v>
      </c>
      <c r="Q239">
        <v>1</v>
      </c>
      <c r="R239">
        <v>117</v>
      </c>
      <c r="AK239">
        <v>1</v>
      </c>
      <c r="AL239">
        <v>0</v>
      </c>
    </row>
    <row r="240" spans="1:38" x14ac:dyDescent="0.3">
      <c r="A240">
        <v>280465</v>
      </c>
      <c r="B240" t="s">
        <v>100</v>
      </c>
      <c r="C240" t="s">
        <v>264</v>
      </c>
      <c r="D240">
        <v>2017</v>
      </c>
      <c r="E240" t="s">
        <v>265</v>
      </c>
      <c r="F240" t="s">
        <v>266</v>
      </c>
      <c r="P240">
        <v>1</v>
      </c>
      <c r="Q240">
        <v>1</v>
      </c>
      <c r="R240">
        <v>8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Z240">
        <v>0</v>
      </c>
    </row>
    <row r="241" spans="1:38" x14ac:dyDescent="0.3">
      <c r="A241">
        <v>280465</v>
      </c>
      <c r="B241" t="s">
        <v>100</v>
      </c>
      <c r="C241" t="s">
        <v>264</v>
      </c>
      <c r="D241">
        <v>2019</v>
      </c>
      <c r="E241" t="s">
        <v>265</v>
      </c>
      <c r="F241" t="s">
        <v>266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Z241">
        <v>0</v>
      </c>
    </row>
    <row r="242" spans="1:38" x14ac:dyDescent="0.3">
      <c r="A242">
        <v>280465</v>
      </c>
      <c r="B242" t="s">
        <v>100</v>
      </c>
      <c r="C242" t="s">
        <v>264</v>
      </c>
      <c r="D242">
        <v>2020</v>
      </c>
      <c r="E242" t="s">
        <v>265</v>
      </c>
      <c r="F242" t="s">
        <v>266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Z242">
        <v>0</v>
      </c>
      <c r="AK242">
        <v>0</v>
      </c>
      <c r="AL242">
        <v>0</v>
      </c>
    </row>
    <row r="243" spans="1:38" x14ac:dyDescent="0.3">
      <c r="A243">
        <v>280465</v>
      </c>
      <c r="B243" t="s">
        <v>100</v>
      </c>
      <c r="C243" t="s">
        <v>264</v>
      </c>
      <c r="D243">
        <v>2022</v>
      </c>
      <c r="E243" t="s">
        <v>265</v>
      </c>
      <c r="F243" t="s">
        <v>266</v>
      </c>
      <c r="S243">
        <v>0</v>
      </c>
      <c r="T243">
        <v>0</v>
      </c>
      <c r="U243">
        <v>0</v>
      </c>
      <c r="V243">
        <v>2</v>
      </c>
      <c r="W243">
        <v>2</v>
      </c>
      <c r="X243">
        <v>0</v>
      </c>
      <c r="Z243">
        <v>0</v>
      </c>
    </row>
    <row r="244" spans="1:38" x14ac:dyDescent="0.3">
      <c r="A244">
        <v>280487</v>
      </c>
      <c r="B244" t="s">
        <v>76</v>
      </c>
      <c r="C244" t="s">
        <v>267</v>
      </c>
      <c r="D244">
        <v>2017</v>
      </c>
      <c r="E244" t="s">
        <v>268</v>
      </c>
      <c r="F244" t="s">
        <v>269</v>
      </c>
      <c r="M244">
        <v>11</v>
      </c>
      <c r="N244">
        <v>121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Z244">
        <v>0</v>
      </c>
      <c r="AK244">
        <v>1</v>
      </c>
      <c r="AL244">
        <v>1</v>
      </c>
    </row>
    <row r="245" spans="1:38" x14ac:dyDescent="0.3">
      <c r="A245">
        <v>280487</v>
      </c>
      <c r="B245" t="s">
        <v>76</v>
      </c>
      <c r="C245" t="s">
        <v>267</v>
      </c>
      <c r="D245">
        <v>2018</v>
      </c>
      <c r="E245" t="s">
        <v>268</v>
      </c>
      <c r="F245" t="s">
        <v>269</v>
      </c>
      <c r="M245">
        <v>3</v>
      </c>
      <c r="N245">
        <v>26</v>
      </c>
      <c r="O245">
        <v>0</v>
      </c>
    </row>
    <row r="246" spans="1:38" x14ac:dyDescent="0.3">
      <c r="A246">
        <v>280487</v>
      </c>
      <c r="B246" t="s">
        <v>76</v>
      </c>
      <c r="C246" t="s">
        <v>267</v>
      </c>
      <c r="D246">
        <v>2019</v>
      </c>
      <c r="E246" t="s">
        <v>268</v>
      </c>
      <c r="F246" t="s">
        <v>269</v>
      </c>
      <c r="M246">
        <v>31</v>
      </c>
      <c r="N246">
        <v>123</v>
      </c>
      <c r="O246">
        <v>1</v>
      </c>
      <c r="P246">
        <v>6</v>
      </c>
      <c r="Q246">
        <v>0</v>
      </c>
      <c r="R246">
        <v>37</v>
      </c>
    </row>
    <row r="247" spans="1:38" x14ac:dyDescent="0.3">
      <c r="A247">
        <v>280487</v>
      </c>
      <c r="B247" t="s">
        <v>76</v>
      </c>
      <c r="C247" t="s">
        <v>267</v>
      </c>
      <c r="D247">
        <v>2022</v>
      </c>
      <c r="E247" t="s">
        <v>92</v>
      </c>
      <c r="F247" t="s">
        <v>93</v>
      </c>
      <c r="M247">
        <v>37</v>
      </c>
      <c r="N247">
        <v>169</v>
      </c>
      <c r="O247">
        <v>0</v>
      </c>
      <c r="P247">
        <v>3</v>
      </c>
      <c r="Q247">
        <v>0</v>
      </c>
      <c r="R247">
        <v>16</v>
      </c>
      <c r="S247">
        <v>0</v>
      </c>
      <c r="T247">
        <v>0</v>
      </c>
      <c r="U247">
        <v>0</v>
      </c>
      <c r="V247">
        <v>2</v>
      </c>
      <c r="W247">
        <v>2</v>
      </c>
      <c r="X247">
        <v>0</v>
      </c>
      <c r="Z247">
        <v>0</v>
      </c>
      <c r="AA247">
        <v>17</v>
      </c>
      <c r="AB247">
        <v>17</v>
      </c>
      <c r="AC247">
        <v>1</v>
      </c>
      <c r="AD247">
        <v>0</v>
      </c>
      <c r="AE247">
        <v>17</v>
      </c>
    </row>
    <row r="248" spans="1:38" x14ac:dyDescent="0.3">
      <c r="A248">
        <v>280487</v>
      </c>
      <c r="B248" t="s">
        <v>76</v>
      </c>
      <c r="C248" t="s">
        <v>267</v>
      </c>
      <c r="D248">
        <v>2023</v>
      </c>
      <c r="E248" t="s">
        <v>92</v>
      </c>
      <c r="F248" t="s">
        <v>93</v>
      </c>
      <c r="M248">
        <v>129</v>
      </c>
      <c r="N248">
        <v>729</v>
      </c>
      <c r="O248">
        <v>7</v>
      </c>
      <c r="P248">
        <v>9</v>
      </c>
      <c r="Q248">
        <v>1</v>
      </c>
      <c r="R248">
        <v>79</v>
      </c>
    </row>
    <row r="249" spans="1:38" x14ac:dyDescent="0.3">
      <c r="A249">
        <v>280911</v>
      </c>
      <c r="B249" t="s">
        <v>84</v>
      </c>
      <c r="C249" t="s">
        <v>270</v>
      </c>
      <c r="D249">
        <v>2018</v>
      </c>
      <c r="E249" t="s">
        <v>271</v>
      </c>
      <c r="F249" t="s">
        <v>272</v>
      </c>
      <c r="S249">
        <v>0</v>
      </c>
      <c r="T249">
        <v>0</v>
      </c>
      <c r="U249">
        <v>2</v>
      </c>
      <c r="V249">
        <v>13</v>
      </c>
      <c r="W249">
        <v>15</v>
      </c>
      <c r="X249">
        <v>3</v>
      </c>
      <c r="Z249">
        <v>0</v>
      </c>
    </row>
    <row r="250" spans="1:38" x14ac:dyDescent="0.3">
      <c r="A250">
        <v>280911</v>
      </c>
      <c r="B250" t="s">
        <v>84</v>
      </c>
      <c r="C250" t="s">
        <v>270</v>
      </c>
      <c r="D250">
        <v>2019</v>
      </c>
      <c r="E250" t="s">
        <v>271</v>
      </c>
      <c r="F250" t="s">
        <v>272</v>
      </c>
      <c r="S250">
        <v>2</v>
      </c>
      <c r="T250">
        <v>0</v>
      </c>
      <c r="U250">
        <v>1</v>
      </c>
      <c r="V250">
        <v>15</v>
      </c>
      <c r="W250">
        <v>20</v>
      </c>
      <c r="X250">
        <v>2</v>
      </c>
      <c r="Z250">
        <v>0</v>
      </c>
    </row>
    <row r="251" spans="1:38" x14ac:dyDescent="0.3">
      <c r="A251">
        <v>280911</v>
      </c>
      <c r="B251" t="s">
        <v>84</v>
      </c>
      <c r="C251" t="s">
        <v>270</v>
      </c>
      <c r="D251">
        <v>2020</v>
      </c>
      <c r="E251" t="s">
        <v>271</v>
      </c>
      <c r="F251" t="s">
        <v>272</v>
      </c>
      <c r="S251">
        <v>0</v>
      </c>
      <c r="T251">
        <v>0</v>
      </c>
      <c r="U251">
        <v>0</v>
      </c>
      <c r="V251">
        <v>14</v>
      </c>
      <c r="W251">
        <v>26</v>
      </c>
      <c r="X251">
        <v>0</v>
      </c>
      <c r="Y251">
        <v>1</v>
      </c>
      <c r="Z251">
        <v>0</v>
      </c>
    </row>
    <row r="252" spans="1:38" x14ac:dyDescent="0.3">
      <c r="A252">
        <v>280911</v>
      </c>
      <c r="B252" t="s">
        <v>84</v>
      </c>
      <c r="C252" t="s">
        <v>270</v>
      </c>
      <c r="D252">
        <v>2021</v>
      </c>
      <c r="E252" t="s">
        <v>271</v>
      </c>
      <c r="F252" t="s">
        <v>272</v>
      </c>
      <c r="S252">
        <v>4</v>
      </c>
      <c r="T252">
        <v>2</v>
      </c>
      <c r="U252">
        <v>1</v>
      </c>
      <c r="V252">
        <v>43</v>
      </c>
      <c r="W252">
        <v>88</v>
      </c>
      <c r="X252">
        <v>8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E252">
        <v>1</v>
      </c>
      <c r="AK252">
        <v>1</v>
      </c>
      <c r="AL252">
        <v>1</v>
      </c>
    </row>
    <row r="253" spans="1:38" x14ac:dyDescent="0.3">
      <c r="A253">
        <v>280911</v>
      </c>
      <c r="B253" t="s">
        <v>84</v>
      </c>
      <c r="C253" t="s">
        <v>270</v>
      </c>
      <c r="D253">
        <v>2022</v>
      </c>
      <c r="E253" t="s">
        <v>271</v>
      </c>
      <c r="F253" t="s">
        <v>272</v>
      </c>
      <c r="S253">
        <v>2</v>
      </c>
      <c r="T253">
        <v>2</v>
      </c>
      <c r="U253">
        <v>0</v>
      </c>
      <c r="V253">
        <v>56</v>
      </c>
      <c r="W253">
        <v>110</v>
      </c>
      <c r="X253">
        <v>3</v>
      </c>
      <c r="Y253">
        <v>2</v>
      </c>
      <c r="Z253">
        <v>0</v>
      </c>
    </row>
    <row r="254" spans="1:38" x14ac:dyDescent="0.3">
      <c r="A254">
        <v>281714</v>
      </c>
      <c r="B254" t="s">
        <v>69</v>
      </c>
      <c r="C254" t="s">
        <v>273</v>
      </c>
      <c r="D254">
        <v>2017</v>
      </c>
      <c r="E254" t="s">
        <v>92</v>
      </c>
      <c r="F254" t="s">
        <v>93</v>
      </c>
      <c r="S254">
        <v>0</v>
      </c>
      <c r="T254">
        <v>0</v>
      </c>
      <c r="U254">
        <v>0</v>
      </c>
      <c r="V254">
        <v>5</v>
      </c>
      <c r="W254">
        <v>9</v>
      </c>
      <c r="X254">
        <v>0.5</v>
      </c>
      <c r="Z254">
        <v>0</v>
      </c>
    </row>
    <row r="255" spans="1:38" x14ac:dyDescent="0.3">
      <c r="A255">
        <v>281714</v>
      </c>
      <c r="B255" t="s">
        <v>69</v>
      </c>
      <c r="C255" t="s">
        <v>273</v>
      </c>
      <c r="D255">
        <v>2018</v>
      </c>
      <c r="E255" t="s">
        <v>92</v>
      </c>
      <c r="F255" t="s">
        <v>93</v>
      </c>
      <c r="S255">
        <v>0</v>
      </c>
      <c r="T255">
        <v>0</v>
      </c>
      <c r="U255">
        <v>0</v>
      </c>
      <c r="V255">
        <v>1</v>
      </c>
      <c r="W255">
        <v>4</v>
      </c>
      <c r="X255">
        <v>1</v>
      </c>
      <c r="Z255">
        <v>0</v>
      </c>
    </row>
    <row r="256" spans="1:38" x14ac:dyDescent="0.3">
      <c r="A256">
        <v>281714</v>
      </c>
      <c r="B256" t="s">
        <v>69</v>
      </c>
      <c r="C256" t="s">
        <v>273</v>
      </c>
      <c r="D256">
        <v>2019</v>
      </c>
      <c r="E256" t="s">
        <v>92</v>
      </c>
      <c r="F256" t="s">
        <v>93</v>
      </c>
      <c r="S256">
        <v>1</v>
      </c>
      <c r="T256">
        <v>3</v>
      </c>
      <c r="U256">
        <v>2</v>
      </c>
      <c r="V256">
        <v>23</v>
      </c>
      <c r="W256">
        <v>42</v>
      </c>
      <c r="X256">
        <v>7</v>
      </c>
      <c r="Z256">
        <v>0</v>
      </c>
    </row>
    <row r="257" spans="1:38" x14ac:dyDescent="0.3">
      <c r="A257">
        <v>281714</v>
      </c>
      <c r="B257" t="s">
        <v>69</v>
      </c>
      <c r="C257" t="s">
        <v>273</v>
      </c>
      <c r="D257">
        <v>2020</v>
      </c>
      <c r="E257" t="s">
        <v>92</v>
      </c>
      <c r="F257" t="s">
        <v>93</v>
      </c>
      <c r="S257">
        <v>1</v>
      </c>
      <c r="T257">
        <v>3</v>
      </c>
      <c r="U257">
        <v>2</v>
      </c>
      <c r="V257">
        <v>22</v>
      </c>
      <c r="W257">
        <v>43</v>
      </c>
      <c r="X257">
        <v>3.5</v>
      </c>
      <c r="Z257">
        <v>0</v>
      </c>
    </row>
    <row r="258" spans="1:38" x14ac:dyDescent="0.3">
      <c r="A258">
        <v>281714</v>
      </c>
      <c r="B258" t="s">
        <v>69</v>
      </c>
      <c r="C258" t="s">
        <v>273</v>
      </c>
      <c r="D258">
        <v>2021</v>
      </c>
      <c r="E258" t="s">
        <v>92</v>
      </c>
      <c r="F258" t="s">
        <v>93</v>
      </c>
      <c r="S258">
        <v>4</v>
      </c>
      <c r="T258">
        <v>5</v>
      </c>
      <c r="U258">
        <v>6</v>
      </c>
      <c r="V258">
        <v>35</v>
      </c>
      <c r="W258">
        <v>60</v>
      </c>
      <c r="X258">
        <v>9.5</v>
      </c>
      <c r="Z258">
        <v>0</v>
      </c>
      <c r="AK258">
        <v>0</v>
      </c>
      <c r="AL258">
        <v>0</v>
      </c>
    </row>
    <row r="259" spans="1:38" x14ac:dyDescent="0.3">
      <c r="A259">
        <v>281714</v>
      </c>
      <c r="B259" t="s">
        <v>69</v>
      </c>
      <c r="C259" t="s">
        <v>273</v>
      </c>
      <c r="D259">
        <v>2022</v>
      </c>
      <c r="E259" t="s">
        <v>92</v>
      </c>
      <c r="F259" t="s">
        <v>93</v>
      </c>
      <c r="S259">
        <v>1</v>
      </c>
      <c r="T259">
        <v>2</v>
      </c>
      <c r="U259">
        <v>6.5</v>
      </c>
      <c r="V259">
        <v>21</v>
      </c>
      <c r="W259">
        <v>48</v>
      </c>
      <c r="X259">
        <v>7.5</v>
      </c>
      <c r="Y259">
        <v>1</v>
      </c>
      <c r="Z259">
        <v>0</v>
      </c>
    </row>
    <row r="260" spans="1:38" x14ac:dyDescent="0.3">
      <c r="A260">
        <v>281890</v>
      </c>
      <c r="B260" t="s">
        <v>178</v>
      </c>
      <c r="C260" t="s">
        <v>274</v>
      </c>
      <c r="D260">
        <v>2018</v>
      </c>
      <c r="E260" t="s">
        <v>58</v>
      </c>
      <c r="F260" t="s">
        <v>59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0</v>
      </c>
      <c r="Z260">
        <v>0</v>
      </c>
    </row>
    <row r="261" spans="1:38" x14ac:dyDescent="0.3">
      <c r="A261">
        <v>282033</v>
      </c>
      <c r="B261" t="s">
        <v>178</v>
      </c>
      <c r="C261" t="s">
        <v>275</v>
      </c>
      <c r="D261">
        <v>2017</v>
      </c>
      <c r="E261" t="s">
        <v>152</v>
      </c>
      <c r="F261" t="s">
        <v>153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Z261">
        <v>0</v>
      </c>
    </row>
    <row r="262" spans="1:38" x14ac:dyDescent="0.3">
      <c r="A262">
        <v>282033</v>
      </c>
      <c r="B262" t="s">
        <v>178</v>
      </c>
      <c r="C262" t="s">
        <v>275</v>
      </c>
      <c r="D262">
        <v>2018</v>
      </c>
      <c r="E262" t="s">
        <v>152</v>
      </c>
      <c r="F262" t="s">
        <v>153</v>
      </c>
      <c r="S262">
        <v>0</v>
      </c>
      <c r="T262">
        <v>0</v>
      </c>
      <c r="U262">
        <v>0</v>
      </c>
      <c r="V262">
        <v>3</v>
      </c>
      <c r="W262">
        <v>3</v>
      </c>
      <c r="X262">
        <v>0</v>
      </c>
      <c r="Z262">
        <v>0</v>
      </c>
    </row>
    <row r="263" spans="1:38" x14ac:dyDescent="0.3">
      <c r="A263">
        <v>282033</v>
      </c>
      <c r="B263" t="s">
        <v>178</v>
      </c>
      <c r="C263" t="s">
        <v>275</v>
      </c>
      <c r="D263">
        <v>2020</v>
      </c>
      <c r="E263" t="s">
        <v>152</v>
      </c>
      <c r="F263" t="s">
        <v>153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Z263">
        <v>0</v>
      </c>
    </row>
    <row r="264" spans="1:38" x14ac:dyDescent="0.3">
      <c r="A264">
        <v>282536</v>
      </c>
      <c r="B264" t="s">
        <v>50</v>
      </c>
      <c r="C264" t="s">
        <v>276</v>
      </c>
      <c r="D264">
        <v>2017</v>
      </c>
      <c r="E264" t="s">
        <v>95</v>
      </c>
      <c r="F264" t="s">
        <v>96</v>
      </c>
      <c r="S264">
        <v>6</v>
      </c>
      <c r="T264">
        <v>0</v>
      </c>
      <c r="U264">
        <v>0</v>
      </c>
      <c r="V264">
        <v>15</v>
      </c>
      <c r="W264">
        <v>25</v>
      </c>
      <c r="X264">
        <v>5</v>
      </c>
      <c r="Y264">
        <v>2</v>
      </c>
      <c r="Z264">
        <v>1</v>
      </c>
    </row>
    <row r="265" spans="1:38" x14ac:dyDescent="0.3">
      <c r="A265">
        <v>282536</v>
      </c>
      <c r="B265" t="s">
        <v>50</v>
      </c>
      <c r="C265" t="s">
        <v>276</v>
      </c>
      <c r="D265">
        <v>2018</v>
      </c>
      <c r="E265" t="s">
        <v>95</v>
      </c>
      <c r="F265" t="s">
        <v>96</v>
      </c>
      <c r="S265">
        <v>4</v>
      </c>
      <c r="T265">
        <v>0</v>
      </c>
      <c r="U265">
        <v>0</v>
      </c>
      <c r="V265">
        <v>10</v>
      </c>
      <c r="W265">
        <v>14</v>
      </c>
      <c r="X265">
        <v>1</v>
      </c>
      <c r="Y265">
        <v>1</v>
      </c>
      <c r="Z265">
        <v>1</v>
      </c>
      <c r="AA265">
        <v>14</v>
      </c>
      <c r="AB265">
        <v>14</v>
      </c>
      <c r="AC265">
        <v>1</v>
      </c>
      <c r="AD265">
        <v>0</v>
      </c>
      <c r="AE265">
        <v>14</v>
      </c>
    </row>
    <row r="266" spans="1:38" x14ac:dyDescent="0.3">
      <c r="A266">
        <v>282536</v>
      </c>
      <c r="B266" t="s">
        <v>50</v>
      </c>
      <c r="C266" t="s">
        <v>276</v>
      </c>
      <c r="D266">
        <v>2019</v>
      </c>
      <c r="E266" t="s">
        <v>95</v>
      </c>
      <c r="F266" t="s">
        <v>96</v>
      </c>
      <c r="S266">
        <v>10</v>
      </c>
      <c r="T266">
        <v>0</v>
      </c>
      <c r="U266">
        <v>0</v>
      </c>
      <c r="V266">
        <v>10</v>
      </c>
      <c r="W266">
        <v>16</v>
      </c>
      <c r="X266">
        <v>1</v>
      </c>
      <c r="Y266">
        <v>3</v>
      </c>
      <c r="Z266">
        <v>0</v>
      </c>
      <c r="AF266">
        <v>-0.3</v>
      </c>
      <c r="AG266">
        <v>0</v>
      </c>
      <c r="AH266">
        <v>3</v>
      </c>
      <c r="AI266">
        <v>0</v>
      </c>
      <c r="AJ266">
        <v>-1</v>
      </c>
      <c r="AK266">
        <v>1</v>
      </c>
      <c r="AL266">
        <v>1</v>
      </c>
    </row>
    <row r="267" spans="1:38" x14ac:dyDescent="0.3">
      <c r="A267">
        <v>289381</v>
      </c>
      <c r="B267" t="s">
        <v>142</v>
      </c>
      <c r="C267" t="s">
        <v>277</v>
      </c>
      <c r="D267">
        <v>2017</v>
      </c>
      <c r="E267" t="s">
        <v>278</v>
      </c>
      <c r="F267" t="s">
        <v>279</v>
      </c>
      <c r="P267">
        <v>1</v>
      </c>
      <c r="Q267">
        <v>0</v>
      </c>
      <c r="R267">
        <v>14</v>
      </c>
    </row>
    <row r="268" spans="1:38" x14ac:dyDescent="0.3">
      <c r="A268">
        <v>289381</v>
      </c>
      <c r="B268" t="s">
        <v>142</v>
      </c>
      <c r="C268" t="s">
        <v>277</v>
      </c>
      <c r="D268">
        <v>2018</v>
      </c>
      <c r="E268" t="s">
        <v>278</v>
      </c>
      <c r="F268" t="s">
        <v>279</v>
      </c>
      <c r="P268">
        <v>16</v>
      </c>
      <c r="Q268">
        <v>2</v>
      </c>
      <c r="R268">
        <v>184</v>
      </c>
    </row>
    <row r="269" spans="1:38" x14ac:dyDescent="0.3">
      <c r="A269">
        <v>289381</v>
      </c>
      <c r="B269" t="s">
        <v>142</v>
      </c>
      <c r="C269" t="s">
        <v>277</v>
      </c>
      <c r="D269">
        <v>2020</v>
      </c>
      <c r="E269" t="s">
        <v>197</v>
      </c>
      <c r="F269" t="s">
        <v>198</v>
      </c>
      <c r="P269">
        <v>9</v>
      </c>
      <c r="Q269">
        <v>0</v>
      </c>
      <c r="R269">
        <v>91</v>
      </c>
    </row>
    <row r="270" spans="1:38" x14ac:dyDescent="0.3">
      <c r="A270">
        <v>289381</v>
      </c>
      <c r="B270" t="s">
        <v>142</v>
      </c>
      <c r="C270" t="s">
        <v>277</v>
      </c>
      <c r="D270">
        <v>2021</v>
      </c>
      <c r="E270" t="s">
        <v>197</v>
      </c>
      <c r="F270" t="s">
        <v>198</v>
      </c>
      <c r="P270">
        <v>11</v>
      </c>
      <c r="Q270">
        <v>0</v>
      </c>
      <c r="R270">
        <v>127</v>
      </c>
    </row>
    <row r="271" spans="1:38" x14ac:dyDescent="0.3">
      <c r="A271">
        <v>289381</v>
      </c>
      <c r="B271" t="s">
        <v>142</v>
      </c>
      <c r="C271" t="s">
        <v>277</v>
      </c>
      <c r="D271">
        <v>2022</v>
      </c>
      <c r="E271" t="s">
        <v>197</v>
      </c>
      <c r="F271" t="s">
        <v>198</v>
      </c>
      <c r="P271">
        <v>20</v>
      </c>
      <c r="Q271">
        <v>2</v>
      </c>
      <c r="R271">
        <v>240</v>
      </c>
    </row>
    <row r="272" spans="1:38" x14ac:dyDescent="0.3">
      <c r="A272">
        <v>289665</v>
      </c>
      <c r="B272" t="s">
        <v>100</v>
      </c>
      <c r="C272" t="s">
        <v>280</v>
      </c>
      <c r="D272">
        <v>2022</v>
      </c>
      <c r="E272" t="s">
        <v>71</v>
      </c>
      <c r="F272" t="s">
        <v>72</v>
      </c>
      <c r="P272">
        <v>1</v>
      </c>
      <c r="Q272">
        <v>0</v>
      </c>
      <c r="R272">
        <v>0</v>
      </c>
    </row>
    <row r="273" spans="1:38" x14ac:dyDescent="0.3">
      <c r="A273">
        <v>294398</v>
      </c>
      <c r="B273" t="s">
        <v>38</v>
      </c>
      <c r="C273" t="s">
        <v>281</v>
      </c>
      <c r="D273">
        <v>2019</v>
      </c>
      <c r="E273" t="s">
        <v>282</v>
      </c>
      <c r="F273" t="s">
        <v>283</v>
      </c>
      <c r="S273">
        <v>0</v>
      </c>
      <c r="T273">
        <v>0</v>
      </c>
      <c r="U273">
        <v>0</v>
      </c>
      <c r="V273">
        <v>1</v>
      </c>
      <c r="W273">
        <v>2</v>
      </c>
      <c r="X273">
        <v>0</v>
      </c>
      <c r="Z273">
        <v>0</v>
      </c>
    </row>
    <row r="274" spans="1:38" x14ac:dyDescent="0.3">
      <c r="A274">
        <v>294398</v>
      </c>
      <c r="B274" t="s">
        <v>38</v>
      </c>
      <c r="C274" t="s">
        <v>281</v>
      </c>
      <c r="D274">
        <v>2021</v>
      </c>
      <c r="E274" t="s">
        <v>282</v>
      </c>
      <c r="F274" t="s">
        <v>283</v>
      </c>
      <c r="S274">
        <v>0</v>
      </c>
      <c r="T274">
        <v>0</v>
      </c>
      <c r="U274">
        <v>0</v>
      </c>
      <c r="V274">
        <v>1</v>
      </c>
      <c r="W274">
        <v>2</v>
      </c>
      <c r="X274">
        <v>1.5</v>
      </c>
      <c r="Z274">
        <v>0</v>
      </c>
    </row>
    <row r="275" spans="1:38" x14ac:dyDescent="0.3">
      <c r="A275">
        <v>294398</v>
      </c>
      <c r="B275" t="s">
        <v>38</v>
      </c>
      <c r="C275" t="s">
        <v>281</v>
      </c>
      <c r="D275">
        <v>2022</v>
      </c>
      <c r="E275" t="s">
        <v>282</v>
      </c>
      <c r="F275" t="s">
        <v>283</v>
      </c>
      <c r="S275">
        <v>0</v>
      </c>
      <c r="T275">
        <v>1</v>
      </c>
      <c r="U275">
        <v>2</v>
      </c>
      <c r="V275">
        <v>4</v>
      </c>
      <c r="W275">
        <v>4</v>
      </c>
      <c r="X275">
        <v>2</v>
      </c>
      <c r="Z275">
        <v>0</v>
      </c>
    </row>
    <row r="276" spans="1:38" x14ac:dyDescent="0.3">
      <c r="A276">
        <v>295677</v>
      </c>
      <c r="B276" t="s">
        <v>142</v>
      </c>
      <c r="C276" t="s">
        <v>284</v>
      </c>
      <c r="D276">
        <v>2018</v>
      </c>
      <c r="E276" t="s">
        <v>171</v>
      </c>
      <c r="F276" t="s">
        <v>172</v>
      </c>
      <c r="M276">
        <v>3</v>
      </c>
      <c r="N276">
        <v>7</v>
      </c>
      <c r="O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Z276">
        <v>0</v>
      </c>
    </row>
    <row r="277" spans="1:38" x14ac:dyDescent="0.3">
      <c r="A277">
        <v>295677</v>
      </c>
      <c r="B277" t="s">
        <v>142</v>
      </c>
      <c r="C277" t="s">
        <v>284</v>
      </c>
      <c r="D277">
        <v>2019</v>
      </c>
      <c r="E277" t="s">
        <v>171</v>
      </c>
      <c r="F277" t="s">
        <v>172</v>
      </c>
      <c r="P277">
        <v>2</v>
      </c>
      <c r="Q277">
        <v>0</v>
      </c>
      <c r="R277">
        <v>15</v>
      </c>
    </row>
    <row r="278" spans="1:38" x14ac:dyDescent="0.3">
      <c r="A278">
        <v>295677</v>
      </c>
      <c r="B278" t="s">
        <v>142</v>
      </c>
      <c r="C278" t="s">
        <v>284</v>
      </c>
      <c r="D278">
        <v>2020</v>
      </c>
      <c r="E278" t="s">
        <v>171</v>
      </c>
      <c r="F278" t="s">
        <v>172</v>
      </c>
      <c r="P278">
        <v>11</v>
      </c>
      <c r="Q278">
        <v>1</v>
      </c>
      <c r="R278">
        <v>94</v>
      </c>
    </row>
    <row r="279" spans="1:38" x14ac:dyDescent="0.3">
      <c r="A279">
        <v>295677</v>
      </c>
      <c r="B279" t="s">
        <v>142</v>
      </c>
      <c r="C279" t="s">
        <v>284</v>
      </c>
      <c r="D279">
        <v>2021</v>
      </c>
      <c r="E279" t="s">
        <v>171</v>
      </c>
      <c r="F279" t="s">
        <v>172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P279">
        <v>16</v>
      </c>
      <c r="Q279">
        <v>1</v>
      </c>
      <c r="R279">
        <v>220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Z279">
        <v>0</v>
      </c>
    </row>
    <row r="280" spans="1:38" x14ac:dyDescent="0.3">
      <c r="A280">
        <v>295677</v>
      </c>
      <c r="B280" t="s">
        <v>142</v>
      </c>
      <c r="C280" t="s">
        <v>284</v>
      </c>
      <c r="D280">
        <v>2022</v>
      </c>
      <c r="E280" t="s">
        <v>171</v>
      </c>
      <c r="F280" t="s">
        <v>172</v>
      </c>
      <c r="G280">
        <v>1</v>
      </c>
      <c r="H280">
        <v>1</v>
      </c>
      <c r="I280">
        <v>66</v>
      </c>
      <c r="J280">
        <v>1</v>
      </c>
      <c r="K280">
        <v>1</v>
      </c>
      <c r="L280">
        <v>0</v>
      </c>
      <c r="M280">
        <v>6</v>
      </c>
      <c r="N280">
        <v>17</v>
      </c>
      <c r="O280">
        <v>5</v>
      </c>
      <c r="P280">
        <v>22</v>
      </c>
      <c r="Q280">
        <v>3</v>
      </c>
      <c r="R280">
        <v>241</v>
      </c>
      <c r="AK280">
        <v>1</v>
      </c>
      <c r="AL280">
        <v>1</v>
      </c>
    </row>
    <row r="281" spans="1:38" x14ac:dyDescent="0.3">
      <c r="A281">
        <v>297505</v>
      </c>
      <c r="B281" t="s">
        <v>42</v>
      </c>
      <c r="C281" t="s">
        <v>285</v>
      </c>
      <c r="D281">
        <v>2017</v>
      </c>
      <c r="E281" t="s">
        <v>286</v>
      </c>
      <c r="F281" t="s">
        <v>287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Z281">
        <v>0</v>
      </c>
    </row>
    <row r="282" spans="1:38" x14ac:dyDescent="0.3">
      <c r="A282">
        <v>297505</v>
      </c>
      <c r="B282" t="s">
        <v>42</v>
      </c>
      <c r="C282" t="s">
        <v>285</v>
      </c>
      <c r="D282">
        <v>2018</v>
      </c>
      <c r="E282" t="s">
        <v>286</v>
      </c>
      <c r="F282" t="s">
        <v>287</v>
      </c>
      <c r="M282">
        <v>2</v>
      </c>
      <c r="N282">
        <v>8</v>
      </c>
      <c r="O282">
        <v>0</v>
      </c>
      <c r="S282">
        <v>1</v>
      </c>
      <c r="T282">
        <v>0</v>
      </c>
      <c r="U282">
        <v>0</v>
      </c>
      <c r="V282">
        <v>17</v>
      </c>
      <c r="W282">
        <v>29</v>
      </c>
      <c r="X282">
        <v>0</v>
      </c>
      <c r="Z282">
        <v>0</v>
      </c>
      <c r="AK282">
        <v>0</v>
      </c>
      <c r="AL282">
        <v>0</v>
      </c>
    </row>
    <row r="283" spans="1:38" x14ac:dyDescent="0.3">
      <c r="A283">
        <v>297505</v>
      </c>
      <c r="B283" t="s">
        <v>42</v>
      </c>
      <c r="C283" t="s">
        <v>285</v>
      </c>
      <c r="D283">
        <v>2019</v>
      </c>
      <c r="E283" t="s">
        <v>286</v>
      </c>
      <c r="F283" t="s">
        <v>287</v>
      </c>
      <c r="S283">
        <v>2</v>
      </c>
      <c r="T283">
        <v>0</v>
      </c>
      <c r="U283">
        <v>1</v>
      </c>
      <c r="V283">
        <v>24</v>
      </c>
      <c r="W283">
        <v>27</v>
      </c>
      <c r="X283">
        <v>4.5</v>
      </c>
      <c r="Y283">
        <v>1</v>
      </c>
      <c r="Z283">
        <v>0</v>
      </c>
      <c r="AK283">
        <v>0</v>
      </c>
      <c r="AL283">
        <v>0</v>
      </c>
    </row>
    <row r="284" spans="1:38" x14ac:dyDescent="0.3">
      <c r="A284">
        <v>297505</v>
      </c>
      <c r="B284" t="s">
        <v>42</v>
      </c>
      <c r="C284" t="s">
        <v>285</v>
      </c>
      <c r="D284">
        <v>2020</v>
      </c>
      <c r="E284" t="s">
        <v>286</v>
      </c>
      <c r="F284" t="s">
        <v>287</v>
      </c>
      <c r="S284">
        <v>1</v>
      </c>
      <c r="T284">
        <v>0</v>
      </c>
      <c r="U284">
        <v>0</v>
      </c>
      <c r="V284">
        <v>5</v>
      </c>
      <c r="W284">
        <v>10</v>
      </c>
      <c r="X284">
        <v>0</v>
      </c>
      <c r="Z284">
        <v>0</v>
      </c>
    </row>
    <row r="285" spans="1:38" x14ac:dyDescent="0.3">
      <c r="A285">
        <v>297505</v>
      </c>
      <c r="B285" t="s">
        <v>42</v>
      </c>
      <c r="C285" t="s">
        <v>285</v>
      </c>
      <c r="D285">
        <v>2021</v>
      </c>
      <c r="E285" t="s">
        <v>286</v>
      </c>
      <c r="F285" t="s">
        <v>287</v>
      </c>
      <c r="S285">
        <v>6</v>
      </c>
      <c r="T285">
        <v>0</v>
      </c>
      <c r="U285">
        <v>0</v>
      </c>
      <c r="V285">
        <v>40</v>
      </c>
      <c r="W285">
        <v>52</v>
      </c>
      <c r="X285">
        <v>3</v>
      </c>
      <c r="Y285">
        <v>2</v>
      </c>
      <c r="Z285">
        <v>1</v>
      </c>
      <c r="AF285">
        <v>7</v>
      </c>
      <c r="AG285">
        <v>7</v>
      </c>
      <c r="AH285">
        <v>1</v>
      </c>
      <c r="AI285">
        <v>1</v>
      </c>
      <c r="AJ285">
        <v>7</v>
      </c>
    </row>
    <row r="286" spans="1:38" x14ac:dyDescent="0.3">
      <c r="A286">
        <v>297505</v>
      </c>
      <c r="B286" t="s">
        <v>42</v>
      </c>
      <c r="C286" t="s">
        <v>285</v>
      </c>
      <c r="D286">
        <v>2022</v>
      </c>
      <c r="E286" t="s">
        <v>286</v>
      </c>
      <c r="F286" t="s">
        <v>287</v>
      </c>
      <c r="S286">
        <v>3</v>
      </c>
      <c r="T286">
        <v>0</v>
      </c>
      <c r="U286">
        <v>0</v>
      </c>
      <c r="V286">
        <v>18</v>
      </c>
      <c r="W286">
        <v>33</v>
      </c>
      <c r="X286">
        <v>4.5</v>
      </c>
      <c r="Y286">
        <v>1</v>
      </c>
      <c r="Z286">
        <v>0</v>
      </c>
    </row>
    <row r="287" spans="1:38" x14ac:dyDescent="0.3">
      <c r="A287">
        <v>300374</v>
      </c>
      <c r="B287" t="s">
        <v>76</v>
      </c>
      <c r="C287" t="s">
        <v>288</v>
      </c>
      <c r="D287">
        <v>2018</v>
      </c>
      <c r="E287" t="s">
        <v>289</v>
      </c>
      <c r="F287" t="s">
        <v>290</v>
      </c>
      <c r="M287">
        <v>71</v>
      </c>
      <c r="N287">
        <v>396</v>
      </c>
      <c r="O287">
        <v>3</v>
      </c>
      <c r="P287">
        <v>4</v>
      </c>
      <c r="Q287">
        <v>0</v>
      </c>
      <c r="R287">
        <v>35</v>
      </c>
      <c r="S287">
        <v>0</v>
      </c>
      <c r="T287">
        <v>0</v>
      </c>
      <c r="U287">
        <v>0</v>
      </c>
      <c r="V287">
        <v>2</v>
      </c>
      <c r="W287">
        <v>2</v>
      </c>
      <c r="X287">
        <v>0</v>
      </c>
      <c r="Z287">
        <v>0</v>
      </c>
      <c r="AK287">
        <v>1</v>
      </c>
      <c r="AL287">
        <v>0</v>
      </c>
    </row>
    <row r="288" spans="1:38" x14ac:dyDescent="0.3">
      <c r="A288">
        <v>300374</v>
      </c>
      <c r="B288" t="s">
        <v>76</v>
      </c>
      <c r="C288" t="s">
        <v>288</v>
      </c>
      <c r="D288">
        <v>2019</v>
      </c>
      <c r="E288" t="s">
        <v>289</v>
      </c>
      <c r="F288" t="s">
        <v>290</v>
      </c>
      <c r="M288">
        <v>247</v>
      </c>
      <c r="N288">
        <v>1265</v>
      </c>
      <c r="O288">
        <v>6</v>
      </c>
      <c r="P288">
        <v>11</v>
      </c>
      <c r="Q288">
        <v>2</v>
      </c>
      <c r="R288">
        <v>211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Z288">
        <v>0</v>
      </c>
      <c r="AA288">
        <v>13</v>
      </c>
      <c r="AB288">
        <v>13</v>
      </c>
      <c r="AC288">
        <v>1</v>
      </c>
      <c r="AD288">
        <v>0</v>
      </c>
      <c r="AE288">
        <v>13</v>
      </c>
      <c r="AK288">
        <v>1</v>
      </c>
      <c r="AL288">
        <v>1</v>
      </c>
    </row>
    <row r="289" spans="1:38" x14ac:dyDescent="0.3">
      <c r="A289">
        <v>300374</v>
      </c>
      <c r="B289" t="s">
        <v>76</v>
      </c>
      <c r="C289" t="s">
        <v>288</v>
      </c>
      <c r="D289">
        <v>2020</v>
      </c>
      <c r="E289" t="s">
        <v>289</v>
      </c>
      <c r="F289" t="s">
        <v>290</v>
      </c>
      <c r="M289">
        <v>99</v>
      </c>
      <c r="N289">
        <v>550</v>
      </c>
      <c r="O289">
        <v>4</v>
      </c>
      <c r="P289">
        <v>13</v>
      </c>
      <c r="Q289">
        <v>0</v>
      </c>
      <c r="R289">
        <v>105</v>
      </c>
      <c r="S289">
        <v>0</v>
      </c>
      <c r="T289">
        <v>0</v>
      </c>
      <c r="U289">
        <v>0</v>
      </c>
      <c r="V289">
        <v>1</v>
      </c>
      <c r="W289">
        <v>3</v>
      </c>
      <c r="X289">
        <v>0.5</v>
      </c>
      <c r="Z289">
        <v>0</v>
      </c>
      <c r="AK289">
        <v>1</v>
      </c>
      <c r="AL289">
        <v>1</v>
      </c>
    </row>
    <row r="290" spans="1:38" x14ac:dyDescent="0.3">
      <c r="A290">
        <v>300374</v>
      </c>
      <c r="B290" t="s">
        <v>76</v>
      </c>
      <c r="C290" t="s">
        <v>288</v>
      </c>
      <c r="D290">
        <v>2021</v>
      </c>
      <c r="E290" t="s">
        <v>289</v>
      </c>
      <c r="F290" t="s">
        <v>290</v>
      </c>
      <c r="M290">
        <v>209</v>
      </c>
      <c r="N290">
        <v>1070</v>
      </c>
      <c r="O290">
        <v>6</v>
      </c>
      <c r="P290">
        <v>23</v>
      </c>
      <c r="Q290">
        <v>0</v>
      </c>
      <c r="R290">
        <v>233</v>
      </c>
      <c r="S290">
        <v>0</v>
      </c>
      <c r="T290">
        <v>0</v>
      </c>
      <c r="U290">
        <v>0</v>
      </c>
      <c r="V290">
        <v>2</v>
      </c>
      <c r="W290">
        <v>2</v>
      </c>
      <c r="X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K290">
        <v>3</v>
      </c>
      <c r="AL290">
        <v>1</v>
      </c>
    </row>
    <row r="291" spans="1:38" x14ac:dyDescent="0.3">
      <c r="A291">
        <v>300374</v>
      </c>
      <c r="B291" t="s">
        <v>76</v>
      </c>
      <c r="C291" t="s">
        <v>288</v>
      </c>
      <c r="D291">
        <v>2022</v>
      </c>
      <c r="E291" t="s">
        <v>271</v>
      </c>
      <c r="F291" t="s">
        <v>272</v>
      </c>
      <c r="M291">
        <v>215</v>
      </c>
      <c r="N291">
        <v>1192</v>
      </c>
      <c r="O291">
        <v>16</v>
      </c>
      <c r="P291">
        <v>37</v>
      </c>
      <c r="Q291">
        <v>2</v>
      </c>
      <c r="R291">
        <v>289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0</v>
      </c>
      <c r="Z291">
        <v>0</v>
      </c>
      <c r="AK291">
        <v>1</v>
      </c>
      <c r="AL291">
        <v>1</v>
      </c>
    </row>
    <row r="292" spans="1:38" x14ac:dyDescent="0.3">
      <c r="A292">
        <v>300511</v>
      </c>
      <c r="B292" t="s">
        <v>142</v>
      </c>
      <c r="C292" t="s">
        <v>291</v>
      </c>
      <c r="D292">
        <v>2018</v>
      </c>
      <c r="E292" t="s">
        <v>44</v>
      </c>
      <c r="F292" t="s">
        <v>45</v>
      </c>
      <c r="P292">
        <v>19</v>
      </c>
      <c r="Q292">
        <v>1</v>
      </c>
      <c r="R292">
        <v>235</v>
      </c>
      <c r="AK292">
        <v>1</v>
      </c>
      <c r="AL292">
        <v>1</v>
      </c>
    </row>
    <row r="293" spans="1:38" x14ac:dyDescent="0.3">
      <c r="A293">
        <v>300511</v>
      </c>
      <c r="B293" t="s">
        <v>142</v>
      </c>
      <c r="C293" t="s">
        <v>291</v>
      </c>
      <c r="D293">
        <v>2021</v>
      </c>
      <c r="E293" t="s">
        <v>44</v>
      </c>
      <c r="F293" t="s">
        <v>45</v>
      </c>
      <c r="M293">
        <v>1</v>
      </c>
      <c r="N293">
        <v>15</v>
      </c>
      <c r="O293">
        <v>0</v>
      </c>
      <c r="P293">
        <v>14</v>
      </c>
      <c r="Q293">
        <v>1</v>
      </c>
      <c r="R293">
        <v>200</v>
      </c>
    </row>
    <row r="294" spans="1:38" x14ac:dyDescent="0.3">
      <c r="A294">
        <v>300511</v>
      </c>
      <c r="B294" t="s">
        <v>142</v>
      </c>
      <c r="C294" t="s">
        <v>291</v>
      </c>
      <c r="D294">
        <v>2022</v>
      </c>
      <c r="E294" t="s">
        <v>44</v>
      </c>
      <c r="F294" t="s">
        <v>45</v>
      </c>
      <c r="P294">
        <v>9</v>
      </c>
      <c r="Q294">
        <v>1</v>
      </c>
      <c r="R294">
        <v>86</v>
      </c>
    </row>
    <row r="295" spans="1:38" x14ac:dyDescent="0.3">
      <c r="A295">
        <v>300511</v>
      </c>
      <c r="B295" t="s">
        <v>142</v>
      </c>
      <c r="C295" t="s">
        <v>291</v>
      </c>
      <c r="D295">
        <v>2023</v>
      </c>
      <c r="E295" t="s">
        <v>292</v>
      </c>
      <c r="F295" t="s">
        <v>293</v>
      </c>
      <c r="M295">
        <v>1</v>
      </c>
      <c r="N295">
        <v>1</v>
      </c>
      <c r="O295">
        <v>1</v>
      </c>
      <c r="P295">
        <v>64</v>
      </c>
      <c r="Q295">
        <v>6</v>
      </c>
      <c r="R295">
        <v>767</v>
      </c>
      <c r="S295">
        <v>0</v>
      </c>
      <c r="T295">
        <v>0</v>
      </c>
      <c r="U295">
        <v>0</v>
      </c>
      <c r="V295">
        <v>3</v>
      </c>
      <c r="W295">
        <v>3</v>
      </c>
      <c r="X295">
        <v>0</v>
      </c>
      <c r="Z295">
        <v>0</v>
      </c>
      <c r="AK295">
        <v>2</v>
      </c>
      <c r="AL295">
        <v>2</v>
      </c>
    </row>
    <row r="296" spans="1:38" x14ac:dyDescent="0.3">
      <c r="A296">
        <v>300559</v>
      </c>
      <c r="B296" t="s">
        <v>54</v>
      </c>
      <c r="C296" t="s">
        <v>294</v>
      </c>
      <c r="D296">
        <v>2017</v>
      </c>
      <c r="E296" t="s">
        <v>295</v>
      </c>
      <c r="F296" t="s">
        <v>296</v>
      </c>
      <c r="G296">
        <v>212</v>
      </c>
      <c r="H296">
        <v>96</v>
      </c>
      <c r="I296">
        <v>1260</v>
      </c>
      <c r="J296">
        <v>0.45300000000000001</v>
      </c>
      <c r="K296">
        <v>9</v>
      </c>
      <c r="L296">
        <v>7</v>
      </c>
      <c r="M296">
        <v>26</v>
      </c>
      <c r="N296">
        <v>-37</v>
      </c>
      <c r="O296">
        <v>0</v>
      </c>
      <c r="AK296">
        <v>3</v>
      </c>
      <c r="AL296">
        <v>1</v>
      </c>
    </row>
    <row r="297" spans="1:38" x14ac:dyDescent="0.3">
      <c r="A297">
        <v>300559</v>
      </c>
      <c r="B297" t="s">
        <v>54</v>
      </c>
      <c r="C297" t="s">
        <v>294</v>
      </c>
      <c r="D297">
        <v>2018</v>
      </c>
      <c r="E297" t="s">
        <v>168</v>
      </c>
      <c r="F297" t="s">
        <v>169</v>
      </c>
      <c r="G297">
        <v>326</v>
      </c>
      <c r="H297">
        <v>213</v>
      </c>
      <c r="I297">
        <v>2727</v>
      </c>
      <c r="J297">
        <v>0.65300000000000002</v>
      </c>
      <c r="K297">
        <v>26</v>
      </c>
      <c r="L297">
        <v>7</v>
      </c>
      <c r="M297">
        <v>29</v>
      </c>
      <c r="N297">
        <v>-40</v>
      </c>
      <c r="O297">
        <v>1</v>
      </c>
      <c r="AK297">
        <v>4</v>
      </c>
      <c r="AL297">
        <v>0</v>
      </c>
    </row>
    <row r="298" spans="1:38" x14ac:dyDescent="0.3">
      <c r="A298">
        <v>300559</v>
      </c>
      <c r="B298" t="s">
        <v>54</v>
      </c>
      <c r="C298" t="s">
        <v>294</v>
      </c>
      <c r="D298">
        <v>2019</v>
      </c>
      <c r="E298" t="s">
        <v>168</v>
      </c>
      <c r="F298" t="s">
        <v>169</v>
      </c>
      <c r="G298">
        <v>357</v>
      </c>
      <c r="H298">
        <v>207</v>
      </c>
      <c r="I298">
        <v>2560</v>
      </c>
      <c r="J298">
        <v>0.57999999999999996</v>
      </c>
      <c r="K298">
        <v>14</v>
      </c>
      <c r="L298">
        <v>5</v>
      </c>
      <c r="M298">
        <v>31</v>
      </c>
      <c r="N298">
        <v>-34</v>
      </c>
      <c r="O298">
        <v>2</v>
      </c>
      <c r="AK298">
        <v>7</v>
      </c>
      <c r="AL298">
        <v>3</v>
      </c>
    </row>
    <row r="299" spans="1:38" x14ac:dyDescent="0.3">
      <c r="A299">
        <v>300563</v>
      </c>
      <c r="B299" t="s">
        <v>142</v>
      </c>
      <c r="C299" t="s">
        <v>297</v>
      </c>
      <c r="D299">
        <v>2018</v>
      </c>
      <c r="E299" t="s">
        <v>152</v>
      </c>
      <c r="F299" t="s">
        <v>153</v>
      </c>
      <c r="P299">
        <v>9</v>
      </c>
      <c r="Q299">
        <v>1</v>
      </c>
      <c r="R299">
        <v>84</v>
      </c>
      <c r="AK299">
        <v>1</v>
      </c>
      <c r="AL299">
        <v>0</v>
      </c>
    </row>
    <row r="300" spans="1:38" x14ac:dyDescent="0.3">
      <c r="A300">
        <v>300563</v>
      </c>
      <c r="B300" t="s">
        <v>142</v>
      </c>
      <c r="C300" t="s">
        <v>297</v>
      </c>
      <c r="D300">
        <v>2019</v>
      </c>
      <c r="E300" t="s">
        <v>152</v>
      </c>
      <c r="F300" t="s">
        <v>153</v>
      </c>
      <c r="P300">
        <v>18</v>
      </c>
      <c r="Q300">
        <v>4</v>
      </c>
      <c r="R300">
        <v>273</v>
      </c>
      <c r="AA300">
        <v>0</v>
      </c>
      <c r="AB300">
        <v>0</v>
      </c>
      <c r="AC300">
        <v>1</v>
      </c>
      <c r="AD300">
        <v>0</v>
      </c>
      <c r="AE300">
        <v>0</v>
      </c>
    </row>
    <row r="301" spans="1:38" x14ac:dyDescent="0.3">
      <c r="A301">
        <v>300563</v>
      </c>
      <c r="B301" t="s">
        <v>142</v>
      </c>
      <c r="C301" t="s">
        <v>297</v>
      </c>
      <c r="D301">
        <v>2020</v>
      </c>
      <c r="E301" t="s">
        <v>152</v>
      </c>
      <c r="F301" t="s">
        <v>153</v>
      </c>
      <c r="P301">
        <v>19</v>
      </c>
      <c r="Q301">
        <v>2</v>
      </c>
      <c r="R301">
        <v>268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Z301">
        <v>0</v>
      </c>
    </row>
    <row r="302" spans="1:38" x14ac:dyDescent="0.3">
      <c r="A302">
        <v>300563</v>
      </c>
      <c r="B302" t="s">
        <v>142</v>
      </c>
      <c r="C302" t="s">
        <v>297</v>
      </c>
      <c r="D302">
        <v>2021</v>
      </c>
      <c r="E302" t="s">
        <v>152</v>
      </c>
      <c r="F302" t="s">
        <v>153</v>
      </c>
      <c r="M302">
        <v>3</v>
      </c>
      <c r="N302">
        <v>18</v>
      </c>
      <c r="O302">
        <v>1</v>
      </c>
      <c r="P302">
        <v>18</v>
      </c>
      <c r="Q302">
        <v>4</v>
      </c>
      <c r="R302">
        <v>202</v>
      </c>
    </row>
    <row r="303" spans="1:38" x14ac:dyDescent="0.3">
      <c r="A303">
        <v>300563</v>
      </c>
      <c r="B303" t="s">
        <v>142</v>
      </c>
      <c r="C303" t="s">
        <v>297</v>
      </c>
      <c r="D303">
        <v>2022</v>
      </c>
      <c r="E303" t="s">
        <v>125</v>
      </c>
      <c r="F303" t="s">
        <v>126</v>
      </c>
      <c r="M303">
        <v>2</v>
      </c>
      <c r="N303">
        <v>1</v>
      </c>
      <c r="O303">
        <v>0</v>
      </c>
      <c r="P303">
        <v>21</v>
      </c>
      <c r="Q303">
        <v>2</v>
      </c>
      <c r="R303">
        <v>239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Z303">
        <v>0</v>
      </c>
    </row>
    <row r="304" spans="1:38" x14ac:dyDescent="0.3">
      <c r="A304">
        <v>300632</v>
      </c>
      <c r="B304" t="s">
        <v>50</v>
      </c>
      <c r="C304" t="s">
        <v>298</v>
      </c>
      <c r="D304">
        <v>2018</v>
      </c>
      <c r="E304" t="s">
        <v>52</v>
      </c>
      <c r="F304" t="s">
        <v>53</v>
      </c>
      <c r="S304">
        <v>8</v>
      </c>
      <c r="T304">
        <v>0</v>
      </c>
      <c r="U304">
        <v>0</v>
      </c>
      <c r="V304">
        <v>34</v>
      </c>
      <c r="W304">
        <v>43</v>
      </c>
      <c r="X304">
        <v>2</v>
      </c>
      <c r="Y304">
        <v>1</v>
      </c>
      <c r="Z304">
        <v>0</v>
      </c>
    </row>
    <row r="305" spans="1:38" x14ac:dyDescent="0.3">
      <c r="A305">
        <v>300632</v>
      </c>
      <c r="B305" t="s">
        <v>50</v>
      </c>
      <c r="C305" t="s">
        <v>298</v>
      </c>
      <c r="D305">
        <v>2019</v>
      </c>
      <c r="E305" t="s">
        <v>52</v>
      </c>
      <c r="F305" t="s">
        <v>53</v>
      </c>
      <c r="S305">
        <v>1</v>
      </c>
      <c r="T305">
        <v>0</v>
      </c>
      <c r="U305">
        <v>0</v>
      </c>
      <c r="V305">
        <v>7</v>
      </c>
      <c r="W305">
        <v>9</v>
      </c>
      <c r="X305">
        <v>0</v>
      </c>
      <c r="Z305">
        <v>0</v>
      </c>
    </row>
    <row r="306" spans="1:38" x14ac:dyDescent="0.3">
      <c r="A306">
        <v>300632</v>
      </c>
      <c r="B306" t="s">
        <v>50</v>
      </c>
      <c r="C306" t="s">
        <v>298</v>
      </c>
      <c r="D306">
        <v>2020</v>
      </c>
      <c r="E306" t="s">
        <v>52</v>
      </c>
      <c r="F306" t="s">
        <v>53</v>
      </c>
      <c r="S306">
        <v>0</v>
      </c>
      <c r="T306">
        <v>0</v>
      </c>
      <c r="U306">
        <v>0</v>
      </c>
      <c r="V306">
        <v>3</v>
      </c>
      <c r="W306">
        <v>3</v>
      </c>
      <c r="X306">
        <v>0</v>
      </c>
      <c r="Z306">
        <v>0</v>
      </c>
    </row>
    <row r="307" spans="1:38" x14ac:dyDescent="0.3">
      <c r="A307">
        <v>300632</v>
      </c>
      <c r="B307" t="s">
        <v>50</v>
      </c>
      <c r="C307" t="s">
        <v>298</v>
      </c>
      <c r="D307">
        <v>2021</v>
      </c>
      <c r="E307" t="s">
        <v>52</v>
      </c>
      <c r="F307" t="s">
        <v>53</v>
      </c>
      <c r="S307">
        <v>2</v>
      </c>
      <c r="T307">
        <v>0</v>
      </c>
      <c r="U307">
        <v>0</v>
      </c>
      <c r="V307">
        <v>11</v>
      </c>
      <c r="W307">
        <v>16</v>
      </c>
      <c r="X307">
        <v>0</v>
      </c>
      <c r="Y307">
        <v>1</v>
      </c>
      <c r="Z307">
        <v>0</v>
      </c>
      <c r="AK307">
        <v>0</v>
      </c>
      <c r="AL307">
        <v>0</v>
      </c>
    </row>
    <row r="308" spans="1:38" x14ac:dyDescent="0.3">
      <c r="A308">
        <v>300632</v>
      </c>
      <c r="B308" t="s">
        <v>50</v>
      </c>
      <c r="C308" t="s">
        <v>298</v>
      </c>
      <c r="D308">
        <v>2022</v>
      </c>
      <c r="E308" t="s">
        <v>52</v>
      </c>
      <c r="F308" t="s">
        <v>53</v>
      </c>
      <c r="S308">
        <v>5</v>
      </c>
      <c r="T308">
        <v>0</v>
      </c>
      <c r="U308">
        <v>2</v>
      </c>
      <c r="V308">
        <v>34</v>
      </c>
      <c r="W308">
        <v>38</v>
      </c>
      <c r="X308">
        <v>4.5</v>
      </c>
      <c r="Y308">
        <v>2</v>
      </c>
      <c r="Z308">
        <v>0</v>
      </c>
    </row>
    <row r="309" spans="1:38" x14ac:dyDescent="0.3">
      <c r="A309">
        <v>300641</v>
      </c>
      <c r="B309" t="s">
        <v>50</v>
      </c>
      <c r="C309" t="s">
        <v>299</v>
      </c>
      <c r="D309">
        <v>2018</v>
      </c>
      <c r="E309" t="s">
        <v>223</v>
      </c>
      <c r="F309" t="s">
        <v>224</v>
      </c>
      <c r="S309">
        <v>4</v>
      </c>
      <c r="T309">
        <v>1</v>
      </c>
      <c r="U309">
        <v>0</v>
      </c>
      <c r="V309">
        <v>12</v>
      </c>
      <c r="W309">
        <v>20</v>
      </c>
      <c r="X309">
        <v>0</v>
      </c>
      <c r="Y309">
        <v>1</v>
      </c>
      <c r="Z309">
        <v>0</v>
      </c>
    </row>
    <row r="310" spans="1:38" x14ac:dyDescent="0.3">
      <c r="A310">
        <v>300641</v>
      </c>
      <c r="B310" t="s">
        <v>50</v>
      </c>
      <c r="C310" t="s">
        <v>299</v>
      </c>
      <c r="D310">
        <v>2019</v>
      </c>
      <c r="E310" t="s">
        <v>223</v>
      </c>
      <c r="F310" t="s">
        <v>224</v>
      </c>
      <c r="S310">
        <v>16</v>
      </c>
      <c r="T310">
        <v>0</v>
      </c>
      <c r="U310">
        <v>0.5</v>
      </c>
      <c r="V310">
        <v>43</v>
      </c>
      <c r="W310">
        <v>55</v>
      </c>
      <c r="X310">
        <v>5</v>
      </c>
      <c r="Y310">
        <v>9</v>
      </c>
      <c r="Z310">
        <v>0</v>
      </c>
    </row>
    <row r="311" spans="1:38" x14ac:dyDescent="0.3">
      <c r="A311">
        <v>300693</v>
      </c>
      <c r="B311" t="s">
        <v>42</v>
      </c>
      <c r="C311" t="s">
        <v>300</v>
      </c>
      <c r="D311">
        <v>2019</v>
      </c>
      <c r="E311" t="s">
        <v>278</v>
      </c>
      <c r="F311" t="s">
        <v>279</v>
      </c>
      <c r="S311">
        <v>3</v>
      </c>
      <c r="T311">
        <v>0</v>
      </c>
      <c r="U311">
        <v>0</v>
      </c>
      <c r="V311">
        <v>49</v>
      </c>
      <c r="W311">
        <v>76</v>
      </c>
      <c r="X311">
        <v>1</v>
      </c>
      <c r="Z311">
        <v>0</v>
      </c>
    </row>
    <row r="312" spans="1:38" x14ac:dyDescent="0.3">
      <c r="A312">
        <v>300693</v>
      </c>
      <c r="B312" t="s">
        <v>42</v>
      </c>
      <c r="C312" t="s">
        <v>300</v>
      </c>
      <c r="D312">
        <v>2020</v>
      </c>
      <c r="E312" t="s">
        <v>278</v>
      </c>
      <c r="F312" t="s">
        <v>279</v>
      </c>
      <c r="S312">
        <v>4</v>
      </c>
      <c r="T312">
        <v>1</v>
      </c>
      <c r="U312">
        <v>0</v>
      </c>
      <c r="V312">
        <v>45</v>
      </c>
      <c r="W312">
        <v>65</v>
      </c>
      <c r="X312">
        <v>0.5</v>
      </c>
      <c r="Y312">
        <v>4</v>
      </c>
      <c r="Z312">
        <v>0</v>
      </c>
      <c r="AK312">
        <v>0</v>
      </c>
      <c r="AL312">
        <v>0</v>
      </c>
    </row>
    <row r="313" spans="1:38" x14ac:dyDescent="0.3">
      <c r="A313">
        <v>300693</v>
      </c>
      <c r="B313" t="s">
        <v>42</v>
      </c>
      <c r="C313" t="s">
        <v>300</v>
      </c>
      <c r="D313">
        <v>2021</v>
      </c>
      <c r="E313" t="s">
        <v>278</v>
      </c>
      <c r="F313" t="s">
        <v>279</v>
      </c>
      <c r="S313">
        <v>4</v>
      </c>
      <c r="T313">
        <v>2</v>
      </c>
      <c r="U313">
        <v>0</v>
      </c>
      <c r="V313">
        <v>49</v>
      </c>
      <c r="W313">
        <v>69</v>
      </c>
      <c r="X313">
        <v>8</v>
      </c>
      <c r="Z313">
        <v>0</v>
      </c>
    </row>
    <row r="314" spans="1:38" x14ac:dyDescent="0.3">
      <c r="A314">
        <v>300693</v>
      </c>
      <c r="B314" t="s">
        <v>42</v>
      </c>
      <c r="C314" t="s">
        <v>300</v>
      </c>
      <c r="D314">
        <v>2022</v>
      </c>
      <c r="E314" t="s">
        <v>278</v>
      </c>
      <c r="F314" t="s">
        <v>279</v>
      </c>
      <c r="S314">
        <v>5</v>
      </c>
      <c r="T314">
        <v>1</v>
      </c>
      <c r="U314">
        <v>1.5</v>
      </c>
      <c r="V314">
        <v>54</v>
      </c>
      <c r="W314">
        <v>86</v>
      </c>
      <c r="X314">
        <v>5</v>
      </c>
      <c r="Z314">
        <v>0</v>
      </c>
    </row>
    <row r="315" spans="1:38" x14ac:dyDescent="0.3">
      <c r="A315">
        <v>300705</v>
      </c>
      <c r="B315" t="s">
        <v>54</v>
      </c>
      <c r="C315" t="s">
        <v>301</v>
      </c>
      <c r="D315">
        <v>2018</v>
      </c>
      <c r="E315" t="s">
        <v>184</v>
      </c>
      <c r="F315" t="s">
        <v>185</v>
      </c>
      <c r="G315">
        <v>86</v>
      </c>
      <c r="H315">
        <v>44</v>
      </c>
      <c r="I315">
        <v>525</v>
      </c>
      <c r="J315">
        <v>0.51200000000000001</v>
      </c>
      <c r="K315">
        <v>4</v>
      </c>
      <c r="L315">
        <v>3</v>
      </c>
      <c r="M315">
        <v>24</v>
      </c>
      <c r="N315">
        <v>-15</v>
      </c>
      <c r="O315">
        <v>1</v>
      </c>
    </row>
    <row r="316" spans="1:38" x14ac:dyDescent="0.3">
      <c r="A316">
        <v>300705</v>
      </c>
      <c r="B316" t="s">
        <v>54</v>
      </c>
      <c r="C316" t="s">
        <v>301</v>
      </c>
      <c r="D316">
        <v>2019</v>
      </c>
      <c r="E316" t="s">
        <v>184</v>
      </c>
      <c r="F316" t="s">
        <v>185</v>
      </c>
      <c r="G316">
        <v>337</v>
      </c>
      <c r="H316">
        <v>213</v>
      </c>
      <c r="I316">
        <v>2360</v>
      </c>
      <c r="J316">
        <v>0.63200000000000001</v>
      </c>
      <c r="K316">
        <v>19</v>
      </c>
      <c r="L316">
        <v>5</v>
      </c>
      <c r="M316">
        <v>112</v>
      </c>
      <c r="N316">
        <v>122</v>
      </c>
      <c r="O316">
        <v>2</v>
      </c>
      <c r="P316">
        <v>1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Z316">
        <v>0</v>
      </c>
      <c r="AK316">
        <v>3</v>
      </c>
      <c r="AL316">
        <v>2</v>
      </c>
    </row>
    <row r="317" spans="1:38" x14ac:dyDescent="0.3">
      <c r="A317">
        <v>300705</v>
      </c>
      <c r="B317" t="s">
        <v>54</v>
      </c>
      <c r="C317" t="s">
        <v>301</v>
      </c>
      <c r="D317">
        <v>2020</v>
      </c>
      <c r="E317" t="s">
        <v>184</v>
      </c>
      <c r="F317" t="s">
        <v>185</v>
      </c>
      <c r="G317">
        <v>96</v>
      </c>
      <c r="H317">
        <v>48</v>
      </c>
      <c r="I317">
        <v>593</v>
      </c>
      <c r="J317">
        <v>0.5</v>
      </c>
      <c r="K317">
        <v>4</v>
      </c>
      <c r="L317">
        <v>2</v>
      </c>
      <c r="M317">
        <v>43</v>
      </c>
      <c r="N317">
        <v>23</v>
      </c>
      <c r="O317">
        <v>0</v>
      </c>
      <c r="P317">
        <v>1</v>
      </c>
      <c r="Q317">
        <v>0</v>
      </c>
      <c r="R317">
        <v>10</v>
      </c>
    </row>
    <row r="318" spans="1:38" x14ac:dyDescent="0.3">
      <c r="A318">
        <v>300705</v>
      </c>
      <c r="B318" t="s">
        <v>54</v>
      </c>
      <c r="C318" t="s">
        <v>301</v>
      </c>
      <c r="D318">
        <v>2021</v>
      </c>
      <c r="E318" t="s">
        <v>184</v>
      </c>
      <c r="F318" t="s">
        <v>185</v>
      </c>
      <c r="G318">
        <v>52</v>
      </c>
      <c r="H318">
        <v>32</v>
      </c>
      <c r="I318">
        <v>388</v>
      </c>
      <c r="J318">
        <v>0.61499999999999999</v>
      </c>
      <c r="K318">
        <v>1</v>
      </c>
      <c r="L318">
        <v>2</v>
      </c>
      <c r="M318">
        <v>21</v>
      </c>
      <c r="N318">
        <v>90</v>
      </c>
      <c r="O318">
        <v>1</v>
      </c>
      <c r="AK318">
        <v>1</v>
      </c>
      <c r="AL318">
        <v>1</v>
      </c>
    </row>
    <row r="319" spans="1:38" x14ac:dyDescent="0.3">
      <c r="A319">
        <v>300705</v>
      </c>
      <c r="B319" t="s">
        <v>54</v>
      </c>
      <c r="C319" t="s">
        <v>301</v>
      </c>
      <c r="D319">
        <v>2022</v>
      </c>
      <c r="E319" t="s">
        <v>152</v>
      </c>
      <c r="F319" t="s">
        <v>153</v>
      </c>
      <c r="G319">
        <v>367</v>
      </c>
      <c r="H319">
        <v>255</v>
      </c>
      <c r="I319">
        <v>2619</v>
      </c>
      <c r="J319">
        <v>0.69499999999999995</v>
      </c>
      <c r="K319">
        <v>15</v>
      </c>
      <c r="L319">
        <v>4</v>
      </c>
      <c r="M319">
        <v>73</v>
      </c>
      <c r="N319">
        <v>35</v>
      </c>
      <c r="O319">
        <v>6</v>
      </c>
      <c r="AK319">
        <v>3</v>
      </c>
      <c r="AL319">
        <v>2</v>
      </c>
    </row>
    <row r="320" spans="1:38" x14ac:dyDescent="0.3">
      <c r="A320">
        <v>300722</v>
      </c>
      <c r="B320" t="s">
        <v>50</v>
      </c>
      <c r="C320" t="s">
        <v>302</v>
      </c>
      <c r="D320">
        <v>2018</v>
      </c>
      <c r="E320" t="s">
        <v>303</v>
      </c>
      <c r="F320" t="s">
        <v>304</v>
      </c>
      <c r="M320">
        <v>4</v>
      </c>
      <c r="N320">
        <v>8</v>
      </c>
      <c r="O320">
        <v>0</v>
      </c>
      <c r="P320">
        <v>4</v>
      </c>
      <c r="Q320">
        <v>0</v>
      </c>
      <c r="R320">
        <v>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Z320">
        <v>1</v>
      </c>
      <c r="AA320">
        <v>20.2</v>
      </c>
      <c r="AB320">
        <v>26</v>
      </c>
      <c r="AC320">
        <v>10</v>
      </c>
      <c r="AD320">
        <v>0</v>
      </c>
      <c r="AE320">
        <v>202</v>
      </c>
      <c r="AF320">
        <v>13.1</v>
      </c>
      <c r="AG320">
        <v>90</v>
      </c>
      <c r="AH320">
        <v>9</v>
      </c>
      <c r="AI320">
        <v>1</v>
      </c>
      <c r="AJ320">
        <v>118</v>
      </c>
      <c r="AK320">
        <v>1</v>
      </c>
      <c r="AL320">
        <v>0</v>
      </c>
    </row>
    <row r="321" spans="1:38" x14ac:dyDescent="0.3">
      <c r="A321">
        <v>300722</v>
      </c>
      <c r="B321" t="s">
        <v>50</v>
      </c>
      <c r="C321" t="s">
        <v>302</v>
      </c>
      <c r="D321">
        <v>2019</v>
      </c>
      <c r="E321" t="s">
        <v>303</v>
      </c>
      <c r="F321" t="s">
        <v>304</v>
      </c>
      <c r="S321">
        <v>1</v>
      </c>
      <c r="T321">
        <v>1</v>
      </c>
      <c r="U321">
        <v>0</v>
      </c>
      <c r="V321">
        <v>26</v>
      </c>
      <c r="W321">
        <v>32</v>
      </c>
      <c r="X321">
        <v>2.5</v>
      </c>
      <c r="Y321">
        <v>3</v>
      </c>
      <c r="Z321">
        <v>1</v>
      </c>
      <c r="AA321">
        <v>27.2</v>
      </c>
      <c r="AB321">
        <v>98</v>
      </c>
      <c r="AC321">
        <v>9</v>
      </c>
      <c r="AD321">
        <v>1</v>
      </c>
      <c r="AE321">
        <v>245</v>
      </c>
      <c r="AF321">
        <v>25.5</v>
      </c>
      <c r="AG321">
        <v>71</v>
      </c>
      <c r="AH321">
        <v>4</v>
      </c>
      <c r="AI321">
        <v>0</v>
      </c>
      <c r="AJ321">
        <v>102</v>
      </c>
      <c r="AK321">
        <v>1</v>
      </c>
      <c r="AL321">
        <v>0</v>
      </c>
    </row>
    <row r="322" spans="1:38" x14ac:dyDescent="0.3">
      <c r="A322">
        <v>300722</v>
      </c>
      <c r="B322" t="s">
        <v>50</v>
      </c>
      <c r="C322" t="s">
        <v>302</v>
      </c>
      <c r="D322">
        <v>2020</v>
      </c>
      <c r="E322" t="s">
        <v>303</v>
      </c>
      <c r="F322" t="s">
        <v>304</v>
      </c>
      <c r="S322">
        <v>6</v>
      </c>
      <c r="T322">
        <v>0</v>
      </c>
      <c r="U322">
        <v>0</v>
      </c>
      <c r="V322">
        <v>25</v>
      </c>
      <c r="W322">
        <v>31</v>
      </c>
      <c r="X322">
        <v>0.5</v>
      </c>
      <c r="Z322">
        <v>1</v>
      </c>
      <c r="AA322">
        <v>33.200000000000003</v>
      </c>
      <c r="AB322">
        <v>100</v>
      </c>
      <c r="AC322">
        <v>17</v>
      </c>
      <c r="AD322">
        <v>1</v>
      </c>
      <c r="AE322">
        <v>564</v>
      </c>
      <c r="AF322">
        <v>3.2</v>
      </c>
      <c r="AG322">
        <v>16</v>
      </c>
      <c r="AH322">
        <v>17</v>
      </c>
      <c r="AI322">
        <v>0</v>
      </c>
      <c r="AJ322">
        <v>55</v>
      </c>
      <c r="AK322">
        <v>1</v>
      </c>
      <c r="AL322">
        <v>1</v>
      </c>
    </row>
    <row r="323" spans="1:38" x14ac:dyDescent="0.3">
      <c r="A323">
        <v>300722</v>
      </c>
      <c r="B323" t="s">
        <v>50</v>
      </c>
      <c r="C323" t="s">
        <v>302</v>
      </c>
      <c r="D323">
        <v>2021</v>
      </c>
      <c r="E323" t="s">
        <v>303</v>
      </c>
      <c r="F323" t="s">
        <v>304</v>
      </c>
      <c r="S323">
        <v>1</v>
      </c>
      <c r="T323">
        <v>1</v>
      </c>
      <c r="U323">
        <v>0</v>
      </c>
      <c r="V323">
        <v>35</v>
      </c>
      <c r="W323">
        <v>49</v>
      </c>
      <c r="X323">
        <v>0</v>
      </c>
      <c r="Y323">
        <v>1</v>
      </c>
      <c r="Z323">
        <v>0</v>
      </c>
      <c r="AA323">
        <v>22.3</v>
      </c>
      <c r="AB323">
        <v>38</v>
      </c>
      <c r="AC323">
        <v>19</v>
      </c>
      <c r="AD323">
        <v>0</v>
      </c>
      <c r="AE323">
        <v>424</v>
      </c>
      <c r="AF323">
        <v>8.8000000000000007</v>
      </c>
      <c r="AG323">
        <v>43</v>
      </c>
      <c r="AH323">
        <v>12</v>
      </c>
      <c r="AI323">
        <v>0</v>
      </c>
      <c r="AJ323">
        <v>105</v>
      </c>
      <c r="AK323">
        <v>2</v>
      </c>
      <c r="AL323">
        <v>0</v>
      </c>
    </row>
    <row r="324" spans="1:38" x14ac:dyDescent="0.3">
      <c r="A324">
        <v>300722</v>
      </c>
      <c r="B324" t="s">
        <v>50</v>
      </c>
      <c r="C324" t="s">
        <v>302</v>
      </c>
      <c r="D324">
        <v>2022</v>
      </c>
      <c r="E324" t="s">
        <v>303</v>
      </c>
      <c r="F324" t="s">
        <v>304</v>
      </c>
      <c r="S324">
        <v>7</v>
      </c>
      <c r="T324">
        <v>0</v>
      </c>
      <c r="U324">
        <v>1</v>
      </c>
      <c r="V324">
        <v>17</v>
      </c>
      <c r="W324">
        <v>19</v>
      </c>
      <c r="X324">
        <v>2</v>
      </c>
      <c r="Y324">
        <v>2</v>
      </c>
      <c r="Z324">
        <v>1</v>
      </c>
      <c r="AF324">
        <v>5</v>
      </c>
      <c r="AG324">
        <v>10</v>
      </c>
      <c r="AH324">
        <v>2</v>
      </c>
      <c r="AI324">
        <v>0</v>
      </c>
      <c r="AJ324">
        <v>10</v>
      </c>
    </row>
    <row r="325" spans="1:38" x14ac:dyDescent="0.3">
      <c r="A325">
        <v>300834</v>
      </c>
      <c r="B325" t="s">
        <v>178</v>
      </c>
      <c r="C325" t="s">
        <v>305</v>
      </c>
      <c r="D325">
        <v>2018</v>
      </c>
      <c r="E325" t="s">
        <v>306</v>
      </c>
      <c r="F325" t="s">
        <v>307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Z325">
        <v>0</v>
      </c>
    </row>
    <row r="326" spans="1:38" x14ac:dyDescent="0.3">
      <c r="A326">
        <v>300834</v>
      </c>
      <c r="B326" t="s">
        <v>178</v>
      </c>
      <c r="C326" t="s">
        <v>305</v>
      </c>
      <c r="D326">
        <v>2020</v>
      </c>
      <c r="E326" t="s">
        <v>306</v>
      </c>
      <c r="F326" t="s">
        <v>307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Z326">
        <v>0</v>
      </c>
    </row>
    <row r="327" spans="1:38" x14ac:dyDescent="0.3">
      <c r="A327">
        <v>300853</v>
      </c>
      <c r="B327" t="s">
        <v>142</v>
      </c>
      <c r="C327" t="s">
        <v>308</v>
      </c>
      <c r="D327">
        <v>2018</v>
      </c>
      <c r="E327" t="s">
        <v>171</v>
      </c>
      <c r="F327" t="s">
        <v>172</v>
      </c>
      <c r="P327">
        <v>17</v>
      </c>
      <c r="Q327">
        <v>2</v>
      </c>
      <c r="R327">
        <v>140</v>
      </c>
    </row>
    <row r="328" spans="1:38" x14ac:dyDescent="0.3">
      <c r="A328">
        <v>300853</v>
      </c>
      <c r="B328" t="s">
        <v>142</v>
      </c>
      <c r="C328" t="s">
        <v>308</v>
      </c>
      <c r="D328">
        <v>2019</v>
      </c>
      <c r="E328" t="s">
        <v>171</v>
      </c>
      <c r="F328" t="s">
        <v>172</v>
      </c>
      <c r="M328">
        <v>1</v>
      </c>
      <c r="N328">
        <v>5</v>
      </c>
      <c r="O328">
        <v>0</v>
      </c>
      <c r="P328">
        <v>21</v>
      </c>
      <c r="Q328">
        <v>1</v>
      </c>
      <c r="R328">
        <v>268</v>
      </c>
    </row>
    <row r="329" spans="1:38" x14ac:dyDescent="0.3">
      <c r="A329">
        <v>300935</v>
      </c>
      <c r="B329" t="s">
        <v>80</v>
      </c>
      <c r="C329" t="s">
        <v>309</v>
      </c>
      <c r="D329">
        <v>2018</v>
      </c>
      <c r="E329" t="s">
        <v>262</v>
      </c>
      <c r="F329" t="s">
        <v>263</v>
      </c>
      <c r="S329">
        <v>6</v>
      </c>
      <c r="T329">
        <v>5</v>
      </c>
      <c r="U329">
        <v>4</v>
      </c>
      <c r="V329">
        <v>38</v>
      </c>
      <c r="W329">
        <v>86</v>
      </c>
      <c r="X329">
        <v>13.5</v>
      </c>
      <c r="Y329">
        <v>1</v>
      </c>
      <c r="Z329">
        <v>1</v>
      </c>
      <c r="AF329">
        <v>-1</v>
      </c>
      <c r="AG329">
        <v>0</v>
      </c>
      <c r="AH329">
        <v>1</v>
      </c>
      <c r="AI329">
        <v>0</v>
      </c>
      <c r="AJ329">
        <v>-1</v>
      </c>
      <c r="AK329">
        <v>0</v>
      </c>
      <c r="AL329">
        <v>0</v>
      </c>
    </row>
    <row r="330" spans="1:38" x14ac:dyDescent="0.3">
      <c r="A330">
        <v>300935</v>
      </c>
      <c r="B330" t="s">
        <v>80</v>
      </c>
      <c r="C330" t="s">
        <v>309</v>
      </c>
      <c r="D330">
        <v>2019</v>
      </c>
      <c r="E330" t="s">
        <v>262</v>
      </c>
      <c r="F330" t="s">
        <v>263</v>
      </c>
      <c r="S330">
        <v>4</v>
      </c>
      <c r="T330">
        <v>3</v>
      </c>
      <c r="U330">
        <v>2.5</v>
      </c>
      <c r="V330">
        <v>56</v>
      </c>
      <c r="W330">
        <v>96</v>
      </c>
      <c r="X330">
        <v>9</v>
      </c>
      <c r="Z330">
        <v>0</v>
      </c>
      <c r="AK330">
        <v>0</v>
      </c>
      <c r="AL330">
        <v>0</v>
      </c>
    </row>
    <row r="331" spans="1:38" x14ac:dyDescent="0.3">
      <c r="A331">
        <v>300985</v>
      </c>
      <c r="B331" t="s">
        <v>50</v>
      </c>
      <c r="C331" t="s">
        <v>310</v>
      </c>
      <c r="D331">
        <v>2018</v>
      </c>
      <c r="E331" t="s">
        <v>311</v>
      </c>
      <c r="F331" t="s">
        <v>312</v>
      </c>
      <c r="S331">
        <v>1</v>
      </c>
      <c r="T331">
        <v>0</v>
      </c>
      <c r="U331">
        <v>0</v>
      </c>
      <c r="V331">
        <v>7</v>
      </c>
      <c r="W331">
        <v>7</v>
      </c>
      <c r="X331">
        <v>1</v>
      </c>
      <c r="Z331">
        <v>0</v>
      </c>
    </row>
    <row r="332" spans="1:38" x14ac:dyDescent="0.3">
      <c r="A332">
        <v>300985</v>
      </c>
      <c r="B332" t="s">
        <v>50</v>
      </c>
      <c r="C332" t="s">
        <v>310</v>
      </c>
      <c r="D332">
        <v>2019</v>
      </c>
      <c r="E332" t="s">
        <v>311</v>
      </c>
      <c r="F332" t="s">
        <v>312</v>
      </c>
      <c r="S332">
        <v>3</v>
      </c>
      <c r="T332">
        <v>0</v>
      </c>
      <c r="U332">
        <v>0</v>
      </c>
      <c r="V332">
        <v>3</v>
      </c>
      <c r="W332">
        <v>6</v>
      </c>
      <c r="X332">
        <v>0</v>
      </c>
      <c r="Z332">
        <v>0</v>
      </c>
    </row>
    <row r="333" spans="1:38" x14ac:dyDescent="0.3">
      <c r="A333">
        <v>300985</v>
      </c>
      <c r="B333" t="s">
        <v>50</v>
      </c>
      <c r="C333" t="s">
        <v>310</v>
      </c>
      <c r="D333">
        <v>2021</v>
      </c>
      <c r="E333" t="s">
        <v>311</v>
      </c>
      <c r="F333" t="s">
        <v>312</v>
      </c>
      <c r="S333">
        <v>0</v>
      </c>
      <c r="T333">
        <v>0</v>
      </c>
      <c r="U333">
        <v>0</v>
      </c>
      <c r="V333">
        <v>2</v>
      </c>
      <c r="W333">
        <v>5</v>
      </c>
      <c r="X333">
        <v>0</v>
      </c>
      <c r="Y333">
        <v>2</v>
      </c>
      <c r="Z333">
        <v>0</v>
      </c>
      <c r="AK333">
        <v>0</v>
      </c>
      <c r="AL333">
        <v>0</v>
      </c>
    </row>
    <row r="334" spans="1:38" x14ac:dyDescent="0.3">
      <c r="A334">
        <v>300985</v>
      </c>
      <c r="B334" t="s">
        <v>50</v>
      </c>
      <c r="C334" t="s">
        <v>310</v>
      </c>
      <c r="D334">
        <v>2022</v>
      </c>
      <c r="E334" t="s">
        <v>311</v>
      </c>
      <c r="F334" t="s">
        <v>312</v>
      </c>
      <c r="S334">
        <v>2</v>
      </c>
      <c r="T334">
        <v>0</v>
      </c>
      <c r="U334">
        <v>0</v>
      </c>
      <c r="V334">
        <v>14</v>
      </c>
      <c r="W334">
        <v>15</v>
      </c>
      <c r="X334">
        <v>1</v>
      </c>
      <c r="Z334">
        <v>0</v>
      </c>
    </row>
    <row r="335" spans="1:38" x14ac:dyDescent="0.3">
      <c r="A335">
        <v>301000</v>
      </c>
      <c r="B335" t="s">
        <v>38</v>
      </c>
      <c r="C335" t="s">
        <v>313</v>
      </c>
      <c r="D335">
        <v>2018</v>
      </c>
      <c r="E335" t="s">
        <v>314</v>
      </c>
      <c r="F335" t="s">
        <v>315</v>
      </c>
      <c r="S335">
        <v>0</v>
      </c>
      <c r="T335">
        <v>0</v>
      </c>
      <c r="U335">
        <v>0</v>
      </c>
      <c r="V335">
        <v>1</v>
      </c>
      <c r="W335">
        <v>2</v>
      </c>
      <c r="X335">
        <v>0</v>
      </c>
      <c r="Z335">
        <v>0</v>
      </c>
    </row>
    <row r="336" spans="1:38" x14ac:dyDescent="0.3">
      <c r="A336">
        <v>301000</v>
      </c>
      <c r="B336" t="s">
        <v>38</v>
      </c>
      <c r="C336" t="s">
        <v>313</v>
      </c>
      <c r="D336">
        <v>2019</v>
      </c>
      <c r="E336" t="s">
        <v>314</v>
      </c>
      <c r="F336" t="s">
        <v>315</v>
      </c>
      <c r="S336">
        <v>0</v>
      </c>
      <c r="T336">
        <v>0</v>
      </c>
      <c r="U336">
        <v>0</v>
      </c>
      <c r="V336">
        <v>1</v>
      </c>
      <c r="W336">
        <v>7</v>
      </c>
      <c r="X336">
        <v>0</v>
      </c>
      <c r="Z336">
        <v>0</v>
      </c>
    </row>
    <row r="337" spans="1:38" x14ac:dyDescent="0.3">
      <c r="A337">
        <v>301000</v>
      </c>
      <c r="B337" t="s">
        <v>38</v>
      </c>
      <c r="C337" t="s">
        <v>313</v>
      </c>
      <c r="D337">
        <v>2021</v>
      </c>
      <c r="E337" t="s">
        <v>314</v>
      </c>
      <c r="F337" t="s">
        <v>315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Z337">
        <v>0</v>
      </c>
      <c r="AK337">
        <v>0</v>
      </c>
      <c r="AL337">
        <v>0</v>
      </c>
    </row>
    <row r="338" spans="1:38" x14ac:dyDescent="0.3">
      <c r="A338">
        <v>301000</v>
      </c>
      <c r="B338" t="s">
        <v>38</v>
      </c>
      <c r="C338" t="s">
        <v>313</v>
      </c>
      <c r="D338">
        <v>2022</v>
      </c>
      <c r="E338" t="s">
        <v>316</v>
      </c>
      <c r="F338" t="s">
        <v>317</v>
      </c>
      <c r="S338">
        <v>2</v>
      </c>
      <c r="T338">
        <v>8</v>
      </c>
      <c r="U338">
        <v>2</v>
      </c>
      <c r="V338">
        <v>17</v>
      </c>
      <c r="W338">
        <v>34</v>
      </c>
      <c r="X338">
        <v>8</v>
      </c>
      <c r="Z338">
        <v>0</v>
      </c>
      <c r="AK338">
        <v>0</v>
      </c>
      <c r="AL338">
        <v>0</v>
      </c>
    </row>
    <row r="339" spans="1:38" x14ac:dyDescent="0.3">
      <c r="A339">
        <v>301104</v>
      </c>
      <c r="B339" t="s">
        <v>69</v>
      </c>
      <c r="C339" t="s">
        <v>318</v>
      </c>
      <c r="D339">
        <v>2018</v>
      </c>
      <c r="E339" t="s">
        <v>220</v>
      </c>
      <c r="F339" t="s">
        <v>221</v>
      </c>
      <c r="S339">
        <v>0</v>
      </c>
      <c r="T339">
        <v>0</v>
      </c>
      <c r="U339">
        <v>0</v>
      </c>
      <c r="V339">
        <v>1</v>
      </c>
      <c r="W339">
        <v>4</v>
      </c>
      <c r="X339">
        <v>0.5</v>
      </c>
      <c r="Z339">
        <v>0</v>
      </c>
    </row>
    <row r="340" spans="1:38" x14ac:dyDescent="0.3">
      <c r="A340">
        <v>301104</v>
      </c>
      <c r="B340" t="s">
        <v>69</v>
      </c>
      <c r="C340" t="s">
        <v>318</v>
      </c>
      <c r="D340">
        <v>2019</v>
      </c>
      <c r="E340" t="s">
        <v>220</v>
      </c>
      <c r="F340" t="s">
        <v>221</v>
      </c>
      <c r="S340">
        <v>1</v>
      </c>
      <c r="T340">
        <v>6</v>
      </c>
      <c r="U340">
        <v>2.5</v>
      </c>
      <c r="V340">
        <v>20</v>
      </c>
      <c r="W340">
        <v>40</v>
      </c>
      <c r="X340">
        <v>9</v>
      </c>
      <c r="Z340">
        <v>0</v>
      </c>
    </row>
    <row r="341" spans="1:38" x14ac:dyDescent="0.3">
      <c r="A341">
        <v>301104</v>
      </c>
      <c r="B341" t="s">
        <v>69</v>
      </c>
      <c r="C341" t="s">
        <v>318</v>
      </c>
      <c r="D341">
        <v>2020</v>
      </c>
      <c r="E341" t="s">
        <v>220</v>
      </c>
      <c r="F341" t="s">
        <v>221</v>
      </c>
      <c r="S341">
        <v>0</v>
      </c>
      <c r="T341">
        <v>2</v>
      </c>
      <c r="U341">
        <v>5</v>
      </c>
      <c r="V341">
        <v>22</v>
      </c>
      <c r="W341">
        <v>38</v>
      </c>
      <c r="X341">
        <v>10</v>
      </c>
      <c r="Z341">
        <v>0</v>
      </c>
      <c r="AK341">
        <v>0</v>
      </c>
      <c r="AL341">
        <v>0</v>
      </c>
    </row>
    <row r="342" spans="1:38" x14ac:dyDescent="0.3">
      <c r="A342">
        <v>301104</v>
      </c>
      <c r="B342" t="s">
        <v>69</v>
      </c>
      <c r="C342" t="s">
        <v>318</v>
      </c>
      <c r="D342">
        <v>2021</v>
      </c>
      <c r="E342" t="s">
        <v>220</v>
      </c>
      <c r="F342" t="s">
        <v>221</v>
      </c>
      <c r="S342">
        <v>3</v>
      </c>
      <c r="T342">
        <v>4</v>
      </c>
      <c r="U342">
        <v>4</v>
      </c>
      <c r="V342">
        <v>30</v>
      </c>
      <c r="W342">
        <v>45</v>
      </c>
      <c r="X342">
        <v>7</v>
      </c>
      <c r="Z342">
        <v>0</v>
      </c>
    </row>
    <row r="343" spans="1:38" x14ac:dyDescent="0.3">
      <c r="A343">
        <v>301104</v>
      </c>
      <c r="B343" t="s">
        <v>69</v>
      </c>
      <c r="C343" t="s">
        <v>318</v>
      </c>
      <c r="D343">
        <v>2022</v>
      </c>
      <c r="E343" t="s">
        <v>197</v>
      </c>
      <c r="F343" t="s">
        <v>198</v>
      </c>
      <c r="S343">
        <v>2</v>
      </c>
      <c r="T343">
        <v>6</v>
      </c>
      <c r="U343">
        <v>3.5</v>
      </c>
      <c r="V343">
        <v>24</v>
      </c>
      <c r="W343">
        <v>50</v>
      </c>
      <c r="X343">
        <v>5</v>
      </c>
      <c r="Z343">
        <v>0</v>
      </c>
    </row>
    <row r="344" spans="1:38" x14ac:dyDescent="0.3">
      <c r="A344">
        <v>301556</v>
      </c>
      <c r="B344" t="s">
        <v>69</v>
      </c>
      <c r="C344" t="s">
        <v>319</v>
      </c>
      <c r="D344">
        <v>2018</v>
      </c>
      <c r="E344" t="s">
        <v>320</v>
      </c>
      <c r="F344" t="s">
        <v>321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Z344">
        <v>0</v>
      </c>
    </row>
    <row r="345" spans="1:38" x14ac:dyDescent="0.3">
      <c r="A345">
        <v>301556</v>
      </c>
      <c r="B345" t="s">
        <v>69</v>
      </c>
      <c r="C345" t="s">
        <v>319</v>
      </c>
      <c r="D345">
        <v>2019</v>
      </c>
      <c r="E345" t="s">
        <v>320</v>
      </c>
      <c r="F345" t="s">
        <v>321</v>
      </c>
      <c r="S345">
        <v>0</v>
      </c>
      <c r="T345">
        <v>0</v>
      </c>
      <c r="U345">
        <v>0</v>
      </c>
      <c r="V345">
        <v>1</v>
      </c>
      <c r="W345">
        <v>3</v>
      </c>
      <c r="X345">
        <v>0.5</v>
      </c>
      <c r="Z345">
        <v>0</v>
      </c>
    </row>
    <row r="346" spans="1:38" x14ac:dyDescent="0.3">
      <c r="A346">
        <v>301556</v>
      </c>
      <c r="B346" t="s">
        <v>69</v>
      </c>
      <c r="C346" t="s">
        <v>319</v>
      </c>
      <c r="D346">
        <v>2020</v>
      </c>
      <c r="E346" t="s">
        <v>320</v>
      </c>
      <c r="F346" t="s">
        <v>321</v>
      </c>
      <c r="S346">
        <v>0</v>
      </c>
      <c r="T346">
        <v>0</v>
      </c>
      <c r="U346">
        <v>0</v>
      </c>
      <c r="V346">
        <v>8</v>
      </c>
      <c r="W346">
        <v>17</v>
      </c>
      <c r="X346">
        <v>0</v>
      </c>
      <c r="Z346">
        <v>0</v>
      </c>
    </row>
    <row r="347" spans="1:38" x14ac:dyDescent="0.3">
      <c r="A347">
        <v>301556</v>
      </c>
      <c r="B347" t="s">
        <v>69</v>
      </c>
      <c r="C347" t="s">
        <v>319</v>
      </c>
      <c r="D347">
        <v>2022</v>
      </c>
      <c r="E347" t="s">
        <v>320</v>
      </c>
      <c r="F347" t="s">
        <v>321</v>
      </c>
      <c r="S347">
        <v>0</v>
      </c>
      <c r="T347">
        <v>0</v>
      </c>
      <c r="U347">
        <v>0</v>
      </c>
      <c r="V347">
        <v>1</v>
      </c>
      <c r="W347">
        <v>2</v>
      </c>
      <c r="X347">
        <v>0</v>
      </c>
      <c r="Y347">
        <v>1</v>
      </c>
      <c r="Z347">
        <v>0</v>
      </c>
    </row>
    <row r="348" spans="1:38" x14ac:dyDescent="0.3">
      <c r="A348">
        <v>304245</v>
      </c>
      <c r="B348" t="s">
        <v>214</v>
      </c>
      <c r="C348" t="s">
        <v>322</v>
      </c>
      <c r="D348">
        <v>2019</v>
      </c>
      <c r="E348" t="s">
        <v>323</v>
      </c>
      <c r="F348" t="s">
        <v>324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Z348">
        <v>0</v>
      </c>
    </row>
    <row r="349" spans="1:38" x14ac:dyDescent="0.3">
      <c r="A349">
        <v>304297</v>
      </c>
      <c r="B349" t="s">
        <v>84</v>
      </c>
      <c r="C349" t="s">
        <v>325</v>
      </c>
      <c r="D349">
        <v>2018</v>
      </c>
      <c r="E349" t="s">
        <v>71</v>
      </c>
      <c r="F349" t="s">
        <v>72</v>
      </c>
      <c r="S349">
        <v>2</v>
      </c>
      <c r="T349">
        <v>6</v>
      </c>
      <c r="U349">
        <v>2.5</v>
      </c>
      <c r="V349">
        <v>37</v>
      </c>
      <c r="W349">
        <v>69</v>
      </c>
      <c r="X349">
        <v>7.5</v>
      </c>
      <c r="Z349">
        <v>0</v>
      </c>
      <c r="AK349">
        <v>0</v>
      </c>
      <c r="AL349">
        <v>0</v>
      </c>
    </row>
    <row r="350" spans="1:38" x14ac:dyDescent="0.3">
      <c r="A350">
        <v>304297</v>
      </c>
      <c r="B350" t="s">
        <v>84</v>
      </c>
      <c r="C350" t="s">
        <v>325</v>
      </c>
      <c r="D350">
        <v>2019</v>
      </c>
      <c r="E350" t="s">
        <v>71</v>
      </c>
      <c r="F350" t="s">
        <v>72</v>
      </c>
      <c r="S350">
        <v>0</v>
      </c>
      <c r="T350">
        <v>4</v>
      </c>
      <c r="U350">
        <v>2</v>
      </c>
      <c r="V350">
        <v>26</v>
      </c>
      <c r="W350">
        <v>53</v>
      </c>
      <c r="X350">
        <v>5</v>
      </c>
      <c r="Z350">
        <v>0</v>
      </c>
    </row>
    <row r="351" spans="1:38" x14ac:dyDescent="0.3">
      <c r="A351">
        <v>304297</v>
      </c>
      <c r="B351" t="s">
        <v>84</v>
      </c>
      <c r="C351" t="s">
        <v>325</v>
      </c>
      <c r="D351">
        <v>2020</v>
      </c>
      <c r="E351" t="s">
        <v>71</v>
      </c>
      <c r="F351" t="s">
        <v>72</v>
      </c>
      <c r="S351">
        <v>2</v>
      </c>
      <c r="T351">
        <v>4</v>
      </c>
      <c r="U351">
        <v>3</v>
      </c>
      <c r="V351">
        <v>38</v>
      </c>
      <c r="W351">
        <v>94</v>
      </c>
      <c r="X351">
        <v>11</v>
      </c>
      <c r="Z351">
        <v>0</v>
      </c>
      <c r="AK351">
        <v>0</v>
      </c>
      <c r="AL351">
        <v>0</v>
      </c>
    </row>
    <row r="352" spans="1:38" x14ac:dyDescent="0.3">
      <c r="A352">
        <v>304297</v>
      </c>
      <c r="B352" t="s">
        <v>84</v>
      </c>
      <c r="C352" t="s">
        <v>325</v>
      </c>
      <c r="D352">
        <v>2021</v>
      </c>
      <c r="E352" t="s">
        <v>71</v>
      </c>
      <c r="F352" t="s">
        <v>72</v>
      </c>
      <c r="S352">
        <v>3</v>
      </c>
      <c r="T352">
        <v>7</v>
      </c>
      <c r="U352">
        <v>1</v>
      </c>
      <c r="V352">
        <v>20</v>
      </c>
      <c r="W352">
        <v>43</v>
      </c>
      <c r="X352">
        <v>5</v>
      </c>
      <c r="Y352">
        <v>1</v>
      </c>
      <c r="Z352">
        <v>0</v>
      </c>
    </row>
    <row r="353" spans="1:38" x14ac:dyDescent="0.3">
      <c r="A353">
        <v>304297</v>
      </c>
      <c r="B353" t="s">
        <v>84</v>
      </c>
      <c r="C353" t="s">
        <v>325</v>
      </c>
      <c r="D353">
        <v>2022</v>
      </c>
      <c r="E353" t="s">
        <v>71</v>
      </c>
      <c r="F353" t="s">
        <v>72</v>
      </c>
      <c r="S353">
        <v>3</v>
      </c>
      <c r="T353">
        <v>6</v>
      </c>
      <c r="U353">
        <v>3</v>
      </c>
      <c r="V353">
        <v>37</v>
      </c>
      <c r="W353">
        <v>71</v>
      </c>
      <c r="X353">
        <v>13.5</v>
      </c>
      <c r="Z353">
        <v>0</v>
      </c>
    </row>
    <row r="354" spans="1:38" x14ac:dyDescent="0.3">
      <c r="A354">
        <v>304349</v>
      </c>
      <c r="B354" t="s">
        <v>46</v>
      </c>
      <c r="C354" t="s">
        <v>326</v>
      </c>
      <c r="D354">
        <v>2018</v>
      </c>
      <c r="E354" t="s">
        <v>327</v>
      </c>
      <c r="F354" t="s">
        <v>328</v>
      </c>
      <c r="P354">
        <v>10</v>
      </c>
      <c r="Q354">
        <v>1</v>
      </c>
      <c r="R354">
        <v>167</v>
      </c>
      <c r="AA354">
        <v>19</v>
      </c>
      <c r="AB354">
        <v>19</v>
      </c>
      <c r="AC354">
        <v>1</v>
      </c>
      <c r="AD354">
        <v>0</v>
      </c>
      <c r="AE354">
        <v>19</v>
      </c>
      <c r="AF354">
        <v>4.7</v>
      </c>
      <c r="AG354">
        <v>7</v>
      </c>
      <c r="AH354">
        <v>3</v>
      </c>
      <c r="AI354">
        <v>0</v>
      </c>
      <c r="AJ354">
        <v>14</v>
      </c>
    </row>
    <row r="355" spans="1:38" x14ac:dyDescent="0.3">
      <c r="A355">
        <v>304349</v>
      </c>
      <c r="B355" t="s">
        <v>46</v>
      </c>
      <c r="C355" t="s">
        <v>326</v>
      </c>
      <c r="D355">
        <v>2019</v>
      </c>
      <c r="E355" t="s">
        <v>327</v>
      </c>
      <c r="F355" t="s">
        <v>328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P355">
        <v>10</v>
      </c>
      <c r="Q355">
        <v>0</v>
      </c>
      <c r="R355">
        <v>122</v>
      </c>
      <c r="AF355">
        <v>10.5</v>
      </c>
      <c r="AG355">
        <v>14</v>
      </c>
      <c r="AH355">
        <v>2</v>
      </c>
      <c r="AI355">
        <v>0</v>
      </c>
      <c r="AJ355">
        <v>21</v>
      </c>
    </row>
    <row r="356" spans="1:38" x14ac:dyDescent="0.3">
      <c r="A356">
        <v>304349</v>
      </c>
      <c r="B356" t="s">
        <v>46</v>
      </c>
      <c r="C356" t="s">
        <v>326</v>
      </c>
      <c r="D356">
        <v>2020</v>
      </c>
      <c r="E356" t="s">
        <v>327</v>
      </c>
      <c r="F356" t="s">
        <v>328</v>
      </c>
      <c r="P356">
        <v>31</v>
      </c>
      <c r="Q356">
        <v>1</v>
      </c>
      <c r="R356">
        <v>348</v>
      </c>
      <c r="AF356">
        <v>38</v>
      </c>
      <c r="AG356">
        <v>9</v>
      </c>
      <c r="AH356">
        <v>2</v>
      </c>
      <c r="AI356">
        <v>0</v>
      </c>
      <c r="AJ356">
        <v>76</v>
      </c>
      <c r="AK356">
        <v>1</v>
      </c>
      <c r="AL356">
        <v>1</v>
      </c>
    </row>
    <row r="357" spans="1:38" x14ac:dyDescent="0.3">
      <c r="A357">
        <v>304349</v>
      </c>
      <c r="B357" t="s">
        <v>46</v>
      </c>
      <c r="C357" t="s">
        <v>326</v>
      </c>
      <c r="D357">
        <v>2021</v>
      </c>
      <c r="E357" t="s">
        <v>327</v>
      </c>
      <c r="F357" t="s">
        <v>328</v>
      </c>
      <c r="P357">
        <v>74</v>
      </c>
      <c r="Q357">
        <v>1</v>
      </c>
      <c r="R357">
        <v>794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0</v>
      </c>
      <c r="Z357">
        <v>0</v>
      </c>
    </row>
    <row r="358" spans="1:38" x14ac:dyDescent="0.3">
      <c r="A358">
        <v>304349</v>
      </c>
      <c r="B358" t="s">
        <v>46</v>
      </c>
      <c r="C358" t="s">
        <v>326</v>
      </c>
      <c r="D358">
        <v>2022</v>
      </c>
      <c r="E358" t="s">
        <v>323</v>
      </c>
      <c r="F358" t="s">
        <v>324</v>
      </c>
      <c r="P358">
        <v>57</v>
      </c>
      <c r="Q358">
        <v>7</v>
      </c>
      <c r="R358">
        <v>817</v>
      </c>
      <c r="AF358">
        <v>5</v>
      </c>
      <c r="AG358">
        <v>13</v>
      </c>
      <c r="AH358">
        <v>3</v>
      </c>
      <c r="AI358">
        <v>0</v>
      </c>
      <c r="AJ358">
        <v>15</v>
      </c>
      <c r="AK358">
        <v>1</v>
      </c>
      <c r="AL358">
        <v>1</v>
      </c>
    </row>
    <row r="359" spans="1:38" x14ac:dyDescent="0.3">
      <c r="A359">
        <v>304353</v>
      </c>
      <c r="B359" t="s">
        <v>69</v>
      </c>
      <c r="C359" t="s">
        <v>329</v>
      </c>
      <c r="D359">
        <v>2018</v>
      </c>
      <c r="E359" t="s">
        <v>173</v>
      </c>
      <c r="F359" t="s">
        <v>174</v>
      </c>
      <c r="S359">
        <v>3</v>
      </c>
      <c r="T359">
        <v>0</v>
      </c>
      <c r="U359">
        <v>1</v>
      </c>
      <c r="V359">
        <v>7</v>
      </c>
      <c r="W359">
        <v>20</v>
      </c>
      <c r="X359">
        <v>2</v>
      </c>
      <c r="Z359">
        <v>0</v>
      </c>
    </row>
    <row r="360" spans="1:38" x14ac:dyDescent="0.3">
      <c r="A360">
        <v>304353</v>
      </c>
      <c r="B360" t="s">
        <v>69</v>
      </c>
      <c r="C360" t="s">
        <v>329</v>
      </c>
      <c r="D360">
        <v>2020</v>
      </c>
      <c r="E360" t="s">
        <v>148</v>
      </c>
      <c r="F360" t="s">
        <v>149</v>
      </c>
      <c r="S360">
        <v>2</v>
      </c>
      <c r="T360">
        <v>18</v>
      </c>
      <c r="U360">
        <v>3.5</v>
      </c>
      <c r="V360">
        <v>21</v>
      </c>
      <c r="W360">
        <v>42</v>
      </c>
      <c r="X360">
        <v>10</v>
      </c>
      <c r="Z360">
        <v>0</v>
      </c>
      <c r="AK360">
        <v>0</v>
      </c>
      <c r="AL360">
        <v>0</v>
      </c>
    </row>
    <row r="361" spans="1:38" x14ac:dyDescent="0.3">
      <c r="A361">
        <v>304353</v>
      </c>
      <c r="B361" t="s">
        <v>69</v>
      </c>
      <c r="C361" t="s">
        <v>329</v>
      </c>
      <c r="D361">
        <v>2021</v>
      </c>
      <c r="E361" t="s">
        <v>148</v>
      </c>
      <c r="F361" t="s">
        <v>149</v>
      </c>
      <c r="S361">
        <v>4</v>
      </c>
      <c r="T361">
        <v>12</v>
      </c>
      <c r="U361">
        <v>8.5</v>
      </c>
      <c r="V361">
        <v>26</v>
      </c>
      <c r="W361">
        <v>41</v>
      </c>
      <c r="X361">
        <v>14.5</v>
      </c>
      <c r="Z361">
        <v>0</v>
      </c>
    </row>
    <row r="362" spans="1:38" x14ac:dyDescent="0.3">
      <c r="A362">
        <v>304353</v>
      </c>
      <c r="B362" t="s">
        <v>69</v>
      </c>
      <c r="C362" t="s">
        <v>329</v>
      </c>
      <c r="D362">
        <v>2022</v>
      </c>
      <c r="E362" t="s">
        <v>148</v>
      </c>
      <c r="F362" t="s">
        <v>149</v>
      </c>
      <c r="S362">
        <v>1</v>
      </c>
      <c r="T362">
        <v>9</v>
      </c>
      <c r="U362">
        <v>2</v>
      </c>
      <c r="V362">
        <v>15</v>
      </c>
      <c r="W362">
        <v>35</v>
      </c>
      <c r="X362">
        <v>8</v>
      </c>
      <c r="Z362">
        <v>0</v>
      </c>
    </row>
    <row r="363" spans="1:38" x14ac:dyDescent="0.3">
      <c r="A363">
        <v>304444</v>
      </c>
      <c r="B363" t="s">
        <v>50</v>
      </c>
      <c r="C363" t="s">
        <v>330</v>
      </c>
      <c r="D363">
        <v>2019</v>
      </c>
      <c r="E363" t="s">
        <v>331</v>
      </c>
      <c r="F363" t="s">
        <v>332</v>
      </c>
      <c r="S363">
        <v>5</v>
      </c>
      <c r="T363">
        <v>0</v>
      </c>
      <c r="U363">
        <v>0</v>
      </c>
      <c r="V363">
        <v>9</v>
      </c>
      <c r="W363">
        <v>15</v>
      </c>
      <c r="X363">
        <v>0</v>
      </c>
      <c r="Z363">
        <v>0</v>
      </c>
    </row>
    <row r="364" spans="1:38" x14ac:dyDescent="0.3">
      <c r="A364">
        <v>304444</v>
      </c>
      <c r="B364" t="s">
        <v>50</v>
      </c>
      <c r="C364" t="s">
        <v>330</v>
      </c>
      <c r="D364">
        <v>2020</v>
      </c>
      <c r="E364" t="s">
        <v>331</v>
      </c>
      <c r="F364" t="s">
        <v>332</v>
      </c>
      <c r="S364">
        <v>0</v>
      </c>
      <c r="T364">
        <v>0</v>
      </c>
      <c r="U364">
        <v>0</v>
      </c>
      <c r="V364">
        <v>9</v>
      </c>
      <c r="W364">
        <v>12</v>
      </c>
      <c r="X364">
        <v>0</v>
      </c>
      <c r="Z364">
        <v>0</v>
      </c>
    </row>
    <row r="365" spans="1:38" x14ac:dyDescent="0.3">
      <c r="A365">
        <v>304444</v>
      </c>
      <c r="B365" t="s">
        <v>50</v>
      </c>
      <c r="C365" t="s">
        <v>330</v>
      </c>
      <c r="D365">
        <v>2021</v>
      </c>
      <c r="E365" t="s">
        <v>331</v>
      </c>
      <c r="F365" t="s">
        <v>332</v>
      </c>
      <c r="S365">
        <v>2</v>
      </c>
      <c r="T365">
        <v>0</v>
      </c>
      <c r="U365">
        <v>0</v>
      </c>
      <c r="V365">
        <v>12</v>
      </c>
      <c r="W365">
        <v>13</v>
      </c>
      <c r="X365">
        <v>0</v>
      </c>
      <c r="Z365">
        <v>0</v>
      </c>
    </row>
    <row r="366" spans="1:38" x14ac:dyDescent="0.3">
      <c r="A366">
        <v>304444</v>
      </c>
      <c r="B366" t="s">
        <v>50</v>
      </c>
      <c r="C366" t="s">
        <v>330</v>
      </c>
      <c r="D366">
        <v>2022</v>
      </c>
      <c r="E366" t="s">
        <v>292</v>
      </c>
      <c r="F366" t="s">
        <v>293</v>
      </c>
      <c r="S366">
        <v>9</v>
      </c>
      <c r="T366">
        <v>1</v>
      </c>
      <c r="U366">
        <v>0</v>
      </c>
      <c r="V366">
        <v>19</v>
      </c>
      <c r="W366">
        <v>36</v>
      </c>
      <c r="X366">
        <v>1</v>
      </c>
      <c r="Z366">
        <v>0</v>
      </c>
    </row>
    <row r="367" spans="1:38" x14ac:dyDescent="0.3">
      <c r="A367">
        <v>304444</v>
      </c>
      <c r="B367" t="s">
        <v>50</v>
      </c>
      <c r="C367" t="s">
        <v>330</v>
      </c>
      <c r="D367">
        <v>2023</v>
      </c>
      <c r="E367" t="s">
        <v>292</v>
      </c>
      <c r="F367" t="s">
        <v>293</v>
      </c>
      <c r="S367">
        <v>2</v>
      </c>
      <c r="T367">
        <v>0</v>
      </c>
      <c r="U367">
        <v>0</v>
      </c>
      <c r="V367">
        <v>35</v>
      </c>
      <c r="W367">
        <v>57</v>
      </c>
      <c r="X367">
        <v>2.5</v>
      </c>
      <c r="Y367">
        <v>1</v>
      </c>
      <c r="Z367">
        <v>0</v>
      </c>
    </row>
    <row r="368" spans="1:38" x14ac:dyDescent="0.3">
      <c r="A368">
        <v>304450</v>
      </c>
      <c r="B368" t="s">
        <v>69</v>
      </c>
      <c r="C368" t="s">
        <v>333</v>
      </c>
      <c r="D368">
        <v>2018</v>
      </c>
      <c r="E368" t="s">
        <v>173</v>
      </c>
      <c r="F368" t="s">
        <v>174</v>
      </c>
      <c r="S368">
        <v>0</v>
      </c>
      <c r="T368">
        <v>1</v>
      </c>
      <c r="U368">
        <v>1</v>
      </c>
      <c r="V368">
        <v>7</v>
      </c>
      <c r="W368">
        <v>15</v>
      </c>
      <c r="X368">
        <v>1</v>
      </c>
      <c r="Z368">
        <v>0</v>
      </c>
    </row>
    <row r="369" spans="1:38" x14ac:dyDescent="0.3">
      <c r="A369">
        <v>304450</v>
      </c>
      <c r="B369" t="s">
        <v>69</v>
      </c>
      <c r="C369" t="s">
        <v>333</v>
      </c>
      <c r="D369">
        <v>2019</v>
      </c>
      <c r="E369" t="s">
        <v>173</v>
      </c>
      <c r="F369" t="s">
        <v>174</v>
      </c>
      <c r="S369">
        <v>0</v>
      </c>
      <c r="T369">
        <v>0</v>
      </c>
      <c r="U369">
        <v>0</v>
      </c>
      <c r="V369">
        <v>1</v>
      </c>
      <c r="W369">
        <v>8</v>
      </c>
      <c r="X369">
        <v>0.5</v>
      </c>
      <c r="Z369">
        <v>0</v>
      </c>
    </row>
    <row r="370" spans="1:38" x14ac:dyDescent="0.3">
      <c r="A370">
        <v>304450</v>
      </c>
      <c r="B370" t="s">
        <v>69</v>
      </c>
      <c r="C370" t="s">
        <v>333</v>
      </c>
      <c r="D370">
        <v>2021</v>
      </c>
      <c r="E370" t="s">
        <v>173</v>
      </c>
      <c r="F370" t="s">
        <v>174</v>
      </c>
      <c r="S370">
        <v>2</v>
      </c>
      <c r="T370">
        <v>2</v>
      </c>
      <c r="U370">
        <v>6.5</v>
      </c>
      <c r="V370">
        <v>12</v>
      </c>
      <c r="W370">
        <v>23</v>
      </c>
      <c r="X370">
        <v>7.5</v>
      </c>
      <c r="Z370">
        <v>0</v>
      </c>
    </row>
    <row r="371" spans="1:38" x14ac:dyDescent="0.3">
      <c r="A371">
        <v>304450</v>
      </c>
      <c r="B371" t="s">
        <v>69</v>
      </c>
      <c r="C371" t="s">
        <v>333</v>
      </c>
      <c r="D371">
        <v>2022</v>
      </c>
      <c r="E371" t="s">
        <v>173</v>
      </c>
      <c r="F371" t="s">
        <v>174</v>
      </c>
      <c r="S371">
        <v>0</v>
      </c>
      <c r="T371">
        <v>2</v>
      </c>
      <c r="U371">
        <v>2.5</v>
      </c>
      <c r="V371">
        <v>12</v>
      </c>
      <c r="W371">
        <v>19</v>
      </c>
      <c r="X371">
        <v>2.5</v>
      </c>
      <c r="Z371">
        <v>0</v>
      </c>
      <c r="AK371">
        <v>0</v>
      </c>
      <c r="AL371">
        <v>0</v>
      </c>
    </row>
    <row r="372" spans="1:38" x14ac:dyDescent="0.3">
      <c r="A372">
        <v>304482</v>
      </c>
      <c r="B372" t="s">
        <v>142</v>
      </c>
      <c r="C372" t="s">
        <v>334</v>
      </c>
      <c r="D372">
        <v>2018</v>
      </c>
      <c r="E372" t="s">
        <v>212</v>
      </c>
      <c r="F372" t="s">
        <v>213</v>
      </c>
      <c r="P372">
        <v>8</v>
      </c>
      <c r="Q372">
        <v>2</v>
      </c>
      <c r="R372">
        <v>135</v>
      </c>
    </row>
    <row r="373" spans="1:38" x14ac:dyDescent="0.3">
      <c r="A373">
        <v>304482</v>
      </c>
      <c r="B373" t="s">
        <v>142</v>
      </c>
      <c r="C373" t="s">
        <v>334</v>
      </c>
      <c r="D373">
        <v>2019</v>
      </c>
      <c r="E373" t="s">
        <v>212</v>
      </c>
      <c r="F373" t="s">
        <v>213</v>
      </c>
      <c r="P373">
        <v>16</v>
      </c>
      <c r="Q373">
        <v>1</v>
      </c>
      <c r="R373">
        <v>112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Z373">
        <v>0</v>
      </c>
    </row>
    <row r="374" spans="1:38" x14ac:dyDescent="0.3">
      <c r="A374">
        <v>304482</v>
      </c>
      <c r="B374" t="s">
        <v>142</v>
      </c>
      <c r="C374" t="s">
        <v>334</v>
      </c>
      <c r="D374">
        <v>2020</v>
      </c>
      <c r="E374" t="s">
        <v>212</v>
      </c>
      <c r="F374" t="s">
        <v>213</v>
      </c>
      <c r="M374">
        <v>1</v>
      </c>
      <c r="N374">
        <v>5</v>
      </c>
      <c r="O374">
        <v>0</v>
      </c>
      <c r="P374">
        <v>8</v>
      </c>
      <c r="Q374">
        <v>1</v>
      </c>
      <c r="R374">
        <v>129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Z374">
        <v>0</v>
      </c>
    </row>
    <row r="375" spans="1:38" x14ac:dyDescent="0.3">
      <c r="A375">
        <v>304482</v>
      </c>
      <c r="B375" t="s">
        <v>142</v>
      </c>
      <c r="C375" t="s">
        <v>334</v>
      </c>
      <c r="D375">
        <v>2021</v>
      </c>
      <c r="E375" t="s">
        <v>207</v>
      </c>
      <c r="F375" t="s">
        <v>208</v>
      </c>
      <c r="M375">
        <v>1</v>
      </c>
      <c r="N375">
        <v>1</v>
      </c>
      <c r="O375">
        <v>0</v>
      </c>
      <c r="P375">
        <v>44</v>
      </c>
      <c r="Q375">
        <v>8</v>
      </c>
      <c r="R375">
        <v>598</v>
      </c>
      <c r="AK375">
        <v>1</v>
      </c>
      <c r="AL375">
        <v>0</v>
      </c>
    </row>
    <row r="376" spans="1:38" x14ac:dyDescent="0.3">
      <c r="A376">
        <v>304519</v>
      </c>
      <c r="B376" t="s">
        <v>50</v>
      </c>
      <c r="C376" t="s">
        <v>335</v>
      </c>
      <c r="D376">
        <v>2018</v>
      </c>
      <c r="E376" t="s">
        <v>48</v>
      </c>
      <c r="F376" t="s">
        <v>49</v>
      </c>
      <c r="M376">
        <v>3</v>
      </c>
      <c r="N376">
        <v>25</v>
      </c>
      <c r="O376">
        <v>0</v>
      </c>
      <c r="S376">
        <v>2</v>
      </c>
      <c r="T376">
        <v>0</v>
      </c>
      <c r="U376">
        <v>1</v>
      </c>
      <c r="V376">
        <v>19</v>
      </c>
      <c r="W376">
        <v>22</v>
      </c>
      <c r="X376">
        <v>1</v>
      </c>
      <c r="Y376">
        <v>1</v>
      </c>
      <c r="Z376">
        <v>0</v>
      </c>
    </row>
    <row r="377" spans="1:38" x14ac:dyDescent="0.3">
      <c r="A377">
        <v>304519</v>
      </c>
      <c r="B377" t="s">
        <v>50</v>
      </c>
      <c r="C377" t="s">
        <v>335</v>
      </c>
      <c r="D377">
        <v>2019</v>
      </c>
      <c r="E377" t="s">
        <v>48</v>
      </c>
      <c r="F377" t="s">
        <v>49</v>
      </c>
      <c r="S377">
        <v>3</v>
      </c>
      <c r="T377">
        <v>0</v>
      </c>
      <c r="U377">
        <v>0</v>
      </c>
      <c r="V377">
        <v>15</v>
      </c>
      <c r="W377">
        <v>19</v>
      </c>
      <c r="X377">
        <v>0</v>
      </c>
      <c r="Y377">
        <v>1</v>
      </c>
      <c r="Z377">
        <v>0</v>
      </c>
    </row>
    <row r="378" spans="1:38" x14ac:dyDescent="0.3">
      <c r="A378">
        <v>304519</v>
      </c>
      <c r="B378" t="s">
        <v>50</v>
      </c>
      <c r="C378" t="s">
        <v>335</v>
      </c>
      <c r="D378">
        <v>2020</v>
      </c>
      <c r="E378" t="s">
        <v>48</v>
      </c>
      <c r="F378" t="s">
        <v>49</v>
      </c>
      <c r="S378">
        <v>1</v>
      </c>
      <c r="T378">
        <v>2</v>
      </c>
      <c r="U378">
        <v>1</v>
      </c>
      <c r="V378">
        <v>26</v>
      </c>
      <c r="W378">
        <v>30</v>
      </c>
      <c r="X378">
        <v>2</v>
      </c>
      <c r="Y378">
        <v>4</v>
      </c>
      <c r="Z378">
        <v>0</v>
      </c>
      <c r="AK378">
        <v>1</v>
      </c>
      <c r="AL378">
        <v>1</v>
      </c>
    </row>
    <row r="379" spans="1:38" x14ac:dyDescent="0.3">
      <c r="A379">
        <v>304519</v>
      </c>
      <c r="B379" t="s">
        <v>50</v>
      </c>
      <c r="C379" t="s">
        <v>335</v>
      </c>
      <c r="D379">
        <v>2021</v>
      </c>
      <c r="E379" t="s">
        <v>48</v>
      </c>
      <c r="F379" t="s">
        <v>49</v>
      </c>
      <c r="S379">
        <v>11</v>
      </c>
      <c r="T379">
        <v>0</v>
      </c>
      <c r="U379">
        <v>0</v>
      </c>
      <c r="V379">
        <v>28</v>
      </c>
      <c r="W379">
        <v>41</v>
      </c>
      <c r="X379">
        <v>1</v>
      </c>
      <c r="Z379">
        <v>0</v>
      </c>
    </row>
    <row r="380" spans="1:38" x14ac:dyDescent="0.3">
      <c r="A380">
        <v>304519</v>
      </c>
      <c r="B380" t="s">
        <v>50</v>
      </c>
      <c r="C380" t="s">
        <v>335</v>
      </c>
      <c r="D380">
        <v>2022</v>
      </c>
      <c r="E380" t="s">
        <v>48</v>
      </c>
      <c r="F380" t="s">
        <v>49</v>
      </c>
      <c r="S380">
        <v>7</v>
      </c>
      <c r="T380">
        <v>0</v>
      </c>
      <c r="U380">
        <v>0</v>
      </c>
      <c r="V380">
        <v>29</v>
      </c>
      <c r="W380">
        <v>40</v>
      </c>
      <c r="X380">
        <v>2.5</v>
      </c>
      <c r="Z380">
        <v>0</v>
      </c>
      <c r="AK380">
        <v>0</v>
      </c>
      <c r="AL380">
        <v>0</v>
      </c>
    </row>
    <row r="381" spans="1:38" x14ac:dyDescent="0.3">
      <c r="A381">
        <v>304574</v>
      </c>
      <c r="B381" t="s">
        <v>84</v>
      </c>
      <c r="C381" t="s">
        <v>336</v>
      </c>
      <c r="D381">
        <v>2018</v>
      </c>
      <c r="E381" t="s">
        <v>148</v>
      </c>
      <c r="F381" t="s">
        <v>149</v>
      </c>
      <c r="S381">
        <v>2</v>
      </c>
      <c r="T381">
        <v>1</v>
      </c>
      <c r="U381">
        <v>1</v>
      </c>
      <c r="V381">
        <v>7</v>
      </c>
      <c r="W381">
        <v>12</v>
      </c>
      <c r="X381">
        <v>2</v>
      </c>
      <c r="Z381">
        <v>0</v>
      </c>
      <c r="AF381">
        <v>28</v>
      </c>
      <c r="AG381">
        <v>0</v>
      </c>
      <c r="AH381">
        <v>1</v>
      </c>
      <c r="AI381">
        <v>0</v>
      </c>
      <c r="AJ381">
        <v>28</v>
      </c>
    </row>
    <row r="382" spans="1:38" x14ac:dyDescent="0.3">
      <c r="A382">
        <v>304574</v>
      </c>
      <c r="B382" t="s">
        <v>84</v>
      </c>
      <c r="C382" t="s">
        <v>336</v>
      </c>
      <c r="D382">
        <v>2019</v>
      </c>
      <c r="E382" t="s">
        <v>148</v>
      </c>
      <c r="F382" t="s">
        <v>149</v>
      </c>
      <c r="S382">
        <v>1</v>
      </c>
      <c r="T382">
        <v>0</v>
      </c>
      <c r="U382">
        <v>0</v>
      </c>
      <c r="V382">
        <v>20</v>
      </c>
      <c r="W382">
        <v>37</v>
      </c>
      <c r="X382">
        <v>0.5</v>
      </c>
      <c r="Y382">
        <v>1</v>
      </c>
      <c r="Z382">
        <v>0</v>
      </c>
      <c r="AK382">
        <v>0</v>
      </c>
      <c r="AL382">
        <v>0</v>
      </c>
    </row>
    <row r="383" spans="1:38" x14ac:dyDescent="0.3">
      <c r="A383">
        <v>304574</v>
      </c>
      <c r="B383" t="s">
        <v>84</v>
      </c>
      <c r="C383" t="s">
        <v>336</v>
      </c>
      <c r="D383">
        <v>2020</v>
      </c>
      <c r="E383" t="s">
        <v>148</v>
      </c>
      <c r="F383" t="s">
        <v>149</v>
      </c>
      <c r="S383">
        <v>2</v>
      </c>
      <c r="T383">
        <v>3</v>
      </c>
      <c r="U383">
        <v>2</v>
      </c>
      <c r="V383">
        <v>30</v>
      </c>
      <c r="W383">
        <v>52</v>
      </c>
      <c r="X383">
        <v>2.5</v>
      </c>
      <c r="Y383">
        <v>1</v>
      </c>
      <c r="Z383">
        <v>0</v>
      </c>
    </row>
    <row r="384" spans="1:38" x14ac:dyDescent="0.3">
      <c r="A384">
        <v>304574</v>
      </c>
      <c r="B384" t="s">
        <v>84</v>
      </c>
      <c r="C384" t="s">
        <v>336</v>
      </c>
      <c r="D384">
        <v>2021</v>
      </c>
      <c r="E384" t="s">
        <v>148</v>
      </c>
      <c r="F384" t="s">
        <v>149</v>
      </c>
      <c r="S384">
        <v>3</v>
      </c>
      <c r="T384">
        <v>0</v>
      </c>
      <c r="U384">
        <v>0</v>
      </c>
      <c r="V384">
        <v>25</v>
      </c>
      <c r="W384">
        <v>44</v>
      </c>
      <c r="X384">
        <v>2</v>
      </c>
      <c r="Z384">
        <v>0</v>
      </c>
    </row>
    <row r="385" spans="1:38" x14ac:dyDescent="0.3">
      <c r="A385">
        <v>304574</v>
      </c>
      <c r="B385" t="s">
        <v>84</v>
      </c>
      <c r="C385" t="s">
        <v>336</v>
      </c>
      <c r="D385">
        <v>2022</v>
      </c>
      <c r="E385" t="s">
        <v>148</v>
      </c>
      <c r="F385" t="s">
        <v>149</v>
      </c>
      <c r="S385">
        <v>4</v>
      </c>
      <c r="T385">
        <v>3</v>
      </c>
      <c r="U385">
        <v>4</v>
      </c>
      <c r="V385">
        <v>38</v>
      </c>
      <c r="W385">
        <v>71</v>
      </c>
      <c r="X385">
        <v>9</v>
      </c>
      <c r="Y385">
        <v>2</v>
      </c>
      <c r="Z385">
        <v>0</v>
      </c>
      <c r="AK385">
        <v>0</v>
      </c>
      <c r="AL385">
        <v>0</v>
      </c>
    </row>
    <row r="386" spans="1:38" x14ac:dyDescent="0.3">
      <c r="A386">
        <v>304644</v>
      </c>
      <c r="B386" t="s">
        <v>46</v>
      </c>
      <c r="C386" t="s">
        <v>337</v>
      </c>
      <c r="D386">
        <v>2018</v>
      </c>
      <c r="E386" t="s">
        <v>71</v>
      </c>
      <c r="F386" t="s">
        <v>72</v>
      </c>
      <c r="G386">
        <v>2</v>
      </c>
      <c r="H386">
        <v>1</v>
      </c>
      <c r="I386">
        <v>56</v>
      </c>
      <c r="J386">
        <v>0.5</v>
      </c>
      <c r="K386">
        <v>0</v>
      </c>
      <c r="L386">
        <v>0</v>
      </c>
      <c r="M386">
        <v>1</v>
      </c>
      <c r="N386">
        <v>8</v>
      </c>
      <c r="O386">
        <v>0</v>
      </c>
      <c r="P386">
        <v>30</v>
      </c>
      <c r="Q386">
        <v>3</v>
      </c>
      <c r="R386">
        <v>354</v>
      </c>
      <c r="AF386">
        <v>10.199999999999999</v>
      </c>
      <c r="AG386">
        <v>40</v>
      </c>
      <c r="AH386">
        <v>13</v>
      </c>
      <c r="AI386">
        <v>0</v>
      </c>
      <c r="AJ386">
        <v>132</v>
      </c>
      <c r="AK386">
        <v>4</v>
      </c>
      <c r="AL386">
        <v>2</v>
      </c>
    </row>
    <row r="387" spans="1:38" x14ac:dyDescent="0.3">
      <c r="A387">
        <v>304644</v>
      </c>
      <c r="B387" t="s">
        <v>46</v>
      </c>
      <c r="C387" t="s">
        <v>337</v>
      </c>
      <c r="D387">
        <v>2019</v>
      </c>
      <c r="E387" t="s">
        <v>71</v>
      </c>
      <c r="F387" t="s">
        <v>72</v>
      </c>
      <c r="G387">
        <v>5</v>
      </c>
      <c r="H387">
        <v>3</v>
      </c>
      <c r="I387">
        <v>74</v>
      </c>
      <c r="J387">
        <v>0.6</v>
      </c>
      <c r="K387">
        <v>2</v>
      </c>
      <c r="L387">
        <v>0</v>
      </c>
      <c r="P387">
        <v>31</v>
      </c>
      <c r="Q387">
        <v>3</v>
      </c>
      <c r="R387">
        <v>334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Z387">
        <v>1</v>
      </c>
      <c r="AF387">
        <v>13.7</v>
      </c>
      <c r="AG387">
        <v>76</v>
      </c>
      <c r="AH387">
        <v>11</v>
      </c>
      <c r="AI387">
        <v>1</v>
      </c>
      <c r="AJ387">
        <v>151</v>
      </c>
      <c r="AK387">
        <v>2</v>
      </c>
      <c r="AL387">
        <v>1</v>
      </c>
    </row>
    <row r="388" spans="1:38" x14ac:dyDescent="0.3">
      <c r="A388">
        <v>304644</v>
      </c>
      <c r="B388" t="s">
        <v>46</v>
      </c>
      <c r="C388" t="s">
        <v>337</v>
      </c>
      <c r="D388">
        <v>2020</v>
      </c>
      <c r="E388" t="s">
        <v>71</v>
      </c>
      <c r="F388" t="s">
        <v>72</v>
      </c>
      <c r="G388">
        <v>3</v>
      </c>
      <c r="H388">
        <v>1</v>
      </c>
      <c r="I388">
        <v>31</v>
      </c>
      <c r="J388">
        <v>0.33300000000000002</v>
      </c>
      <c r="K388">
        <v>1</v>
      </c>
      <c r="L388">
        <v>0</v>
      </c>
      <c r="M388">
        <v>1</v>
      </c>
      <c r="N388">
        <v>-6</v>
      </c>
      <c r="O388">
        <v>0</v>
      </c>
      <c r="P388">
        <v>42</v>
      </c>
      <c r="Q388">
        <v>6</v>
      </c>
      <c r="R388">
        <v>529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Z388">
        <v>0</v>
      </c>
      <c r="AA388">
        <v>44</v>
      </c>
      <c r="AB388">
        <v>44</v>
      </c>
      <c r="AC388">
        <v>1</v>
      </c>
      <c r="AD388">
        <v>0</v>
      </c>
      <c r="AE388">
        <v>44</v>
      </c>
      <c r="AF388">
        <v>10</v>
      </c>
      <c r="AG388">
        <v>23</v>
      </c>
      <c r="AH388">
        <v>10</v>
      </c>
      <c r="AI388">
        <v>0</v>
      </c>
      <c r="AJ388">
        <v>100</v>
      </c>
    </row>
    <row r="389" spans="1:38" x14ac:dyDescent="0.3">
      <c r="A389">
        <v>304644</v>
      </c>
      <c r="B389" t="s">
        <v>46</v>
      </c>
      <c r="C389" t="s">
        <v>337</v>
      </c>
      <c r="D389">
        <v>2021</v>
      </c>
      <c r="E389" t="s">
        <v>71</v>
      </c>
      <c r="F389" t="s">
        <v>72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4</v>
      </c>
      <c r="N389">
        <v>19</v>
      </c>
      <c r="O389">
        <v>0</v>
      </c>
      <c r="P389">
        <v>51</v>
      </c>
      <c r="Q389">
        <v>8</v>
      </c>
      <c r="R389">
        <v>596</v>
      </c>
      <c r="AF389">
        <v>9.5</v>
      </c>
      <c r="AG389">
        <v>25</v>
      </c>
      <c r="AH389">
        <v>17</v>
      </c>
      <c r="AI389">
        <v>0</v>
      </c>
      <c r="AJ389">
        <v>162</v>
      </c>
    </row>
    <row r="390" spans="1:38" x14ac:dyDescent="0.3">
      <c r="A390">
        <v>304644</v>
      </c>
      <c r="B390" t="s">
        <v>46</v>
      </c>
      <c r="C390" t="s">
        <v>337</v>
      </c>
      <c r="D390">
        <v>2022</v>
      </c>
      <c r="E390" t="s">
        <v>71</v>
      </c>
      <c r="F390" t="s">
        <v>72</v>
      </c>
      <c r="G390">
        <v>2</v>
      </c>
      <c r="H390">
        <v>2</v>
      </c>
      <c r="I390">
        <v>33</v>
      </c>
      <c r="J390">
        <v>1</v>
      </c>
      <c r="K390">
        <v>1</v>
      </c>
      <c r="L390">
        <v>0</v>
      </c>
      <c r="M390">
        <v>1</v>
      </c>
      <c r="N390">
        <v>-7</v>
      </c>
      <c r="O390">
        <v>0</v>
      </c>
      <c r="P390">
        <v>57</v>
      </c>
      <c r="Q390">
        <v>4</v>
      </c>
      <c r="R390">
        <v>642</v>
      </c>
      <c r="AF390">
        <v>7.1</v>
      </c>
      <c r="AG390">
        <v>38</v>
      </c>
      <c r="AH390">
        <v>18</v>
      </c>
      <c r="AI390">
        <v>0</v>
      </c>
      <c r="AJ390">
        <v>128</v>
      </c>
      <c r="AK390">
        <v>2</v>
      </c>
      <c r="AL390">
        <v>0</v>
      </c>
    </row>
    <row r="391" spans="1:38" x14ac:dyDescent="0.3">
      <c r="A391">
        <v>304682</v>
      </c>
      <c r="B391" t="s">
        <v>38</v>
      </c>
      <c r="C391" t="s">
        <v>338</v>
      </c>
      <c r="D391">
        <v>2018</v>
      </c>
      <c r="E391" t="s">
        <v>339</v>
      </c>
      <c r="F391" t="s">
        <v>340</v>
      </c>
      <c r="S391">
        <v>0</v>
      </c>
      <c r="T391">
        <v>1</v>
      </c>
      <c r="U391">
        <v>1</v>
      </c>
      <c r="V391">
        <v>7</v>
      </c>
      <c r="W391">
        <v>17</v>
      </c>
      <c r="X391">
        <v>3</v>
      </c>
      <c r="Z391">
        <v>0</v>
      </c>
    </row>
    <row r="392" spans="1:38" x14ac:dyDescent="0.3">
      <c r="A392">
        <v>304682</v>
      </c>
      <c r="B392" t="s">
        <v>38</v>
      </c>
      <c r="C392" t="s">
        <v>338</v>
      </c>
      <c r="D392">
        <v>2019</v>
      </c>
      <c r="E392" t="s">
        <v>339</v>
      </c>
      <c r="F392" t="s">
        <v>340</v>
      </c>
      <c r="S392">
        <v>0</v>
      </c>
      <c r="T392">
        <v>5</v>
      </c>
      <c r="U392">
        <v>1</v>
      </c>
      <c r="V392">
        <v>14</v>
      </c>
      <c r="W392">
        <v>32</v>
      </c>
      <c r="X392">
        <v>7</v>
      </c>
      <c r="Z392">
        <v>0</v>
      </c>
    </row>
    <row r="393" spans="1:38" x14ac:dyDescent="0.3">
      <c r="A393">
        <v>304682</v>
      </c>
      <c r="B393" t="s">
        <v>38</v>
      </c>
      <c r="C393" t="s">
        <v>338</v>
      </c>
      <c r="D393">
        <v>2020</v>
      </c>
      <c r="E393" t="s">
        <v>339</v>
      </c>
      <c r="F393" t="s">
        <v>340</v>
      </c>
      <c r="S393">
        <v>0</v>
      </c>
      <c r="T393">
        <v>2</v>
      </c>
      <c r="U393">
        <v>2.5</v>
      </c>
      <c r="V393">
        <v>8</v>
      </c>
      <c r="W393">
        <v>26</v>
      </c>
      <c r="X393">
        <v>6.5</v>
      </c>
      <c r="Z393">
        <v>0</v>
      </c>
    </row>
    <row r="394" spans="1:38" x14ac:dyDescent="0.3">
      <c r="A394">
        <v>304682</v>
      </c>
      <c r="B394" t="s">
        <v>38</v>
      </c>
      <c r="C394" t="s">
        <v>338</v>
      </c>
      <c r="D394">
        <v>2021</v>
      </c>
      <c r="E394" t="s">
        <v>339</v>
      </c>
      <c r="F394" t="s">
        <v>340</v>
      </c>
      <c r="S394">
        <v>0</v>
      </c>
      <c r="T394">
        <v>5</v>
      </c>
      <c r="U394">
        <v>4.5</v>
      </c>
      <c r="V394">
        <v>33</v>
      </c>
      <c r="W394">
        <v>70</v>
      </c>
      <c r="X394">
        <v>12.5</v>
      </c>
      <c r="Z394">
        <v>0</v>
      </c>
      <c r="AK394">
        <v>0</v>
      </c>
      <c r="AL394">
        <v>0</v>
      </c>
    </row>
    <row r="395" spans="1:38" x14ac:dyDescent="0.3">
      <c r="A395">
        <v>304682</v>
      </c>
      <c r="B395" t="s">
        <v>38</v>
      </c>
      <c r="C395" t="s">
        <v>338</v>
      </c>
      <c r="D395">
        <v>2022</v>
      </c>
      <c r="E395" t="s">
        <v>339</v>
      </c>
      <c r="F395" t="s">
        <v>340</v>
      </c>
      <c r="S395">
        <v>0</v>
      </c>
      <c r="T395">
        <v>2</v>
      </c>
      <c r="U395">
        <v>5.5</v>
      </c>
      <c r="V395">
        <v>23</v>
      </c>
      <c r="W395">
        <v>61</v>
      </c>
      <c r="X395">
        <v>12.5</v>
      </c>
      <c r="Y395">
        <v>1</v>
      </c>
      <c r="Z395">
        <v>0</v>
      </c>
    </row>
    <row r="396" spans="1:38" x14ac:dyDescent="0.3">
      <c r="A396">
        <v>304745</v>
      </c>
      <c r="B396" t="s">
        <v>46</v>
      </c>
      <c r="C396" t="s">
        <v>341</v>
      </c>
      <c r="D396">
        <v>2018</v>
      </c>
      <c r="E396" t="s">
        <v>243</v>
      </c>
      <c r="F396" t="s">
        <v>244</v>
      </c>
      <c r="P396">
        <v>2</v>
      </c>
      <c r="Q396">
        <v>0</v>
      </c>
      <c r="R396">
        <v>16</v>
      </c>
    </row>
    <row r="397" spans="1:38" x14ac:dyDescent="0.3">
      <c r="A397">
        <v>304745</v>
      </c>
      <c r="B397" t="s">
        <v>46</v>
      </c>
      <c r="C397" t="s">
        <v>341</v>
      </c>
      <c r="D397">
        <v>2019</v>
      </c>
      <c r="E397" t="s">
        <v>243</v>
      </c>
      <c r="F397" t="s">
        <v>244</v>
      </c>
      <c r="P397">
        <v>8</v>
      </c>
      <c r="Q397">
        <v>0</v>
      </c>
      <c r="R397">
        <v>95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Z397">
        <v>0</v>
      </c>
      <c r="AF397">
        <v>-1</v>
      </c>
      <c r="AG397">
        <v>-1</v>
      </c>
      <c r="AH397">
        <v>1</v>
      </c>
      <c r="AI397">
        <v>0</v>
      </c>
      <c r="AJ397">
        <v>-1</v>
      </c>
    </row>
    <row r="398" spans="1:38" x14ac:dyDescent="0.3">
      <c r="A398">
        <v>304745</v>
      </c>
      <c r="B398" t="s">
        <v>46</v>
      </c>
      <c r="C398" t="s">
        <v>341</v>
      </c>
      <c r="D398">
        <v>2020</v>
      </c>
      <c r="E398" t="s">
        <v>243</v>
      </c>
      <c r="F398" t="s">
        <v>244</v>
      </c>
      <c r="P398">
        <v>15</v>
      </c>
      <c r="Q398">
        <v>2</v>
      </c>
      <c r="R398">
        <v>219</v>
      </c>
      <c r="AK398">
        <v>1</v>
      </c>
      <c r="AL398">
        <v>0</v>
      </c>
    </row>
    <row r="399" spans="1:38" x14ac:dyDescent="0.3">
      <c r="A399">
        <v>304745</v>
      </c>
      <c r="B399" t="s">
        <v>46</v>
      </c>
      <c r="C399" t="s">
        <v>341</v>
      </c>
      <c r="D399">
        <v>2021</v>
      </c>
      <c r="E399" t="s">
        <v>243</v>
      </c>
      <c r="F399" t="s">
        <v>244</v>
      </c>
      <c r="P399">
        <v>16</v>
      </c>
      <c r="Q399">
        <v>2</v>
      </c>
      <c r="R399">
        <v>191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Z399">
        <v>0</v>
      </c>
    </row>
    <row r="400" spans="1:38" x14ac:dyDescent="0.3">
      <c r="A400">
        <v>304745</v>
      </c>
      <c r="B400" t="s">
        <v>46</v>
      </c>
      <c r="C400" t="s">
        <v>341</v>
      </c>
      <c r="D400">
        <v>2022</v>
      </c>
      <c r="E400" t="s">
        <v>243</v>
      </c>
      <c r="F400" t="s">
        <v>244</v>
      </c>
      <c r="G400">
        <v>1</v>
      </c>
      <c r="H400">
        <v>1</v>
      </c>
      <c r="I400">
        <v>13</v>
      </c>
      <c r="J400">
        <v>1</v>
      </c>
      <c r="K400">
        <v>0</v>
      </c>
      <c r="L400">
        <v>0</v>
      </c>
      <c r="M400">
        <v>8</v>
      </c>
      <c r="N400">
        <v>48</v>
      </c>
      <c r="O400">
        <v>0</v>
      </c>
      <c r="P400">
        <v>39</v>
      </c>
      <c r="Q400">
        <v>3</v>
      </c>
      <c r="R400">
        <v>393</v>
      </c>
    </row>
    <row r="401" spans="1:38" x14ac:dyDescent="0.3">
      <c r="A401">
        <v>304745</v>
      </c>
      <c r="B401" t="s">
        <v>46</v>
      </c>
      <c r="C401" t="s">
        <v>341</v>
      </c>
      <c r="D401">
        <v>2023</v>
      </c>
      <c r="E401" t="s">
        <v>243</v>
      </c>
      <c r="F401" t="s">
        <v>244</v>
      </c>
      <c r="M401">
        <v>4</v>
      </c>
      <c r="N401">
        <v>8</v>
      </c>
      <c r="O401">
        <v>0</v>
      </c>
      <c r="P401">
        <v>84</v>
      </c>
      <c r="Q401">
        <v>10</v>
      </c>
      <c r="R401">
        <v>962</v>
      </c>
      <c r="S401">
        <v>0</v>
      </c>
      <c r="T401">
        <v>0</v>
      </c>
      <c r="U401">
        <v>0</v>
      </c>
      <c r="V401">
        <v>2</v>
      </c>
      <c r="W401">
        <v>2</v>
      </c>
      <c r="X401">
        <v>0</v>
      </c>
      <c r="Z401">
        <v>0</v>
      </c>
    </row>
    <row r="402" spans="1:38" x14ac:dyDescent="0.3">
      <c r="A402">
        <v>304754</v>
      </c>
      <c r="B402" t="s">
        <v>42</v>
      </c>
      <c r="C402" t="s">
        <v>342</v>
      </c>
      <c r="D402">
        <v>2018</v>
      </c>
      <c r="E402" t="s">
        <v>148</v>
      </c>
      <c r="F402" t="s">
        <v>149</v>
      </c>
      <c r="S402">
        <v>5</v>
      </c>
      <c r="T402">
        <v>0</v>
      </c>
      <c r="U402">
        <v>0</v>
      </c>
      <c r="V402">
        <v>15</v>
      </c>
      <c r="W402">
        <v>25</v>
      </c>
      <c r="X402">
        <v>0.5</v>
      </c>
      <c r="Y402">
        <v>1</v>
      </c>
      <c r="Z402">
        <v>0</v>
      </c>
    </row>
    <row r="403" spans="1:38" x14ac:dyDescent="0.3">
      <c r="A403">
        <v>304754</v>
      </c>
      <c r="B403" t="s">
        <v>42</v>
      </c>
      <c r="C403" t="s">
        <v>342</v>
      </c>
      <c r="D403">
        <v>2019</v>
      </c>
      <c r="E403" t="s">
        <v>148</v>
      </c>
      <c r="F403" t="s">
        <v>149</v>
      </c>
      <c r="S403">
        <v>1</v>
      </c>
      <c r="T403">
        <v>2</v>
      </c>
      <c r="U403">
        <v>2</v>
      </c>
      <c r="V403">
        <v>16</v>
      </c>
      <c r="W403">
        <v>26</v>
      </c>
      <c r="X403">
        <v>3.5</v>
      </c>
      <c r="Y403">
        <v>1</v>
      </c>
      <c r="Z403">
        <v>0</v>
      </c>
    </row>
    <row r="404" spans="1:38" x14ac:dyDescent="0.3">
      <c r="A404">
        <v>304754</v>
      </c>
      <c r="B404" t="s">
        <v>42</v>
      </c>
      <c r="C404" t="s">
        <v>342</v>
      </c>
      <c r="D404">
        <v>2020</v>
      </c>
      <c r="E404" t="s">
        <v>148</v>
      </c>
      <c r="F404" t="s">
        <v>149</v>
      </c>
      <c r="S404">
        <v>0</v>
      </c>
      <c r="T404">
        <v>0</v>
      </c>
      <c r="U404">
        <v>1</v>
      </c>
      <c r="V404">
        <v>22</v>
      </c>
      <c r="W404">
        <v>34</v>
      </c>
      <c r="X404">
        <v>1</v>
      </c>
      <c r="Y404">
        <v>1</v>
      </c>
      <c r="Z404">
        <v>0</v>
      </c>
      <c r="AK404">
        <v>1</v>
      </c>
      <c r="AL404">
        <v>1</v>
      </c>
    </row>
    <row r="405" spans="1:38" x14ac:dyDescent="0.3">
      <c r="A405">
        <v>304754</v>
      </c>
      <c r="B405" t="s">
        <v>42</v>
      </c>
      <c r="C405" t="s">
        <v>342</v>
      </c>
      <c r="D405">
        <v>2021</v>
      </c>
      <c r="E405" t="s">
        <v>148</v>
      </c>
      <c r="F405" t="s">
        <v>149</v>
      </c>
      <c r="S405">
        <v>8</v>
      </c>
      <c r="T405">
        <v>0</v>
      </c>
      <c r="U405">
        <v>1.5</v>
      </c>
      <c r="V405">
        <v>40</v>
      </c>
      <c r="W405">
        <v>88</v>
      </c>
      <c r="X405">
        <v>4</v>
      </c>
      <c r="Y405">
        <v>1</v>
      </c>
      <c r="Z405">
        <v>0</v>
      </c>
    </row>
    <row r="406" spans="1:38" x14ac:dyDescent="0.3">
      <c r="A406">
        <v>304754</v>
      </c>
      <c r="B406" t="s">
        <v>42</v>
      </c>
      <c r="C406" t="s">
        <v>342</v>
      </c>
      <c r="D406">
        <v>2022</v>
      </c>
      <c r="E406" t="s">
        <v>148</v>
      </c>
      <c r="F406" t="s">
        <v>149</v>
      </c>
      <c r="S406">
        <v>4</v>
      </c>
      <c r="T406">
        <v>1</v>
      </c>
      <c r="U406">
        <v>0.5</v>
      </c>
      <c r="V406">
        <v>44</v>
      </c>
      <c r="W406">
        <v>77</v>
      </c>
      <c r="X406">
        <v>3.5</v>
      </c>
      <c r="Z406">
        <v>0</v>
      </c>
      <c r="AK406">
        <v>0</v>
      </c>
      <c r="AL406">
        <v>0</v>
      </c>
    </row>
    <row r="407" spans="1:38" x14ac:dyDescent="0.3">
      <c r="A407">
        <v>304873</v>
      </c>
      <c r="B407" t="s">
        <v>76</v>
      </c>
      <c r="C407" t="s">
        <v>343</v>
      </c>
      <c r="D407">
        <v>2018</v>
      </c>
      <c r="E407" t="s">
        <v>102</v>
      </c>
      <c r="F407" t="s">
        <v>103</v>
      </c>
      <c r="M407">
        <v>139</v>
      </c>
      <c r="N407">
        <v>737</v>
      </c>
      <c r="O407">
        <v>4</v>
      </c>
      <c r="P407">
        <v>12</v>
      </c>
      <c r="Q407">
        <v>1</v>
      </c>
      <c r="R407">
        <v>69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0</v>
      </c>
      <c r="Z407">
        <v>0</v>
      </c>
      <c r="AA407">
        <v>14.5</v>
      </c>
      <c r="AB407">
        <v>18</v>
      </c>
      <c r="AC407">
        <v>2</v>
      </c>
      <c r="AD407">
        <v>0</v>
      </c>
      <c r="AE407">
        <v>29</v>
      </c>
      <c r="AF407">
        <v>6</v>
      </c>
      <c r="AG407">
        <v>11</v>
      </c>
      <c r="AH407">
        <v>2</v>
      </c>
      <c r="AI407">
        <v>0</v>
      </c>
      <c r="AJ407">
        <v>12</v>
      </c>
      <c r="AK407">
        <v>2</v>
      </c>
      <c r="AL407">
        <v>2</v>
      </c>
    </row>
    <row r="408" spans="1:38" x14ac:dyDescent="0.3">
      <c r="A408">
        <v>304873</v>
      </c>
      <c r="B408" t="s">
        <v>76</v>
      </c>
      <c r="C408" t="s">
        <v>343</v>
      </c>
      <c r="D408">
        <v>2019</v>
      </c>
      <c r="E408" t="s">
        <v>102</v>
      </c>
      <c r="F408" t="s">
        <v>103</v>
      </c>
      <c r="M408">
        <v>106</v>
      </c>
      <c r="N408">
        <v>658</v>
      </c>
      <c r="O408">
        <v>0</v>
      </c>
      <c r="P408">
        <v>16</v>
      </c>
      <c r="Q408">
        <v>1</v>
      </c>
      <c r="R408">
        <v>159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Z408">
        <v>0</v>
      </c>
      <c r="AA408">
        <v>21.2</v>
      </c>
      <c r="AB408">
        <v>28</v>
      </c>
      <c r="AC408">
        <v>13</v>
      </c>
      <c r="AD408">
        <v>0</v>
      </c>
      <c r="AE408">
        <v>276</v>
      </c>
      <c r="AK408">
        <v>2</v>
      </c>
      <c r="AL408">
        <v>2</v>
      </c>
    </row>
    <row r="409" spans="1:38" x14ac:dyDescent="0.3">
      <c r="A409">
        <v>304873</v>
      </c>
      <c r="B409" t="s">
        <v>76</v>
      </c>
      <c r="C409" t="s">
        <v>343</v>
      </c>
      <c r="D409">
        <v>2020</v>
      </c>
      <c r="E409" t="s">
        <v>102</v>
      </c>
      <c r="F409" t="s">
        <v>103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64</v>
      </c>
      <c r="N409">
        <v>443</v>
      </c>
      <c r="O409">
        <v>1</v>
      </c>
      <c r="P409">
        <v>9</v>
      </c>
      <c r="Q409">
        <v>4</v>
      </c>
      <c r="R409">
        <v>239</v>
      </c>
      <c r="AF409">
        <v>13.3</v>
      </c>
      <c r="AG409">
        <v>19</v>
      </c>
      <c r="AH409">
        <v>3</v>
      </c>
      <c r="AI409">
        <v>0</v>
      </c>
      <c r="AJ409">
        <v>40</v>
      </c>
      <c r="AK409">
        <v>2</v>
      </c>
      <c r="AL409">
        <v>2</v>
      </c>
    </row>
    <row r="410" spans="1:38" x14ac:dyDescent="0.3">
      <c r="A410">
        <v>304873</v>
      </c>
      <c r="B410" t="s">
        <v>76</v>
      </c>
      <c r="C410" t="s">
        <v>343</v>
      </c>
      <c r="D410">
        <v>2021</v>
      </c>
      <c r="E410" t="s">
        <v>102</v>
      </c>
      <c r="F410" t="s">
        <v>103</v>
      </c>
      <c r="M410">
        <v>211</v>
      </c>
      <c r="N410">
        <v>1271</v>
      </c>
      <c r="O410">
        <v>16</v>
      </c>
      <c r="P410">
        <v>46</v>
      </c>
      <c r="Q410">
        <v>2</v>
      </c>
      <c r="R410">
        <v>402</v>
      </c>
      <c r="AK410">
        <v>3</v>
      </c>
      <c r="AL410">
        <v>1</v>
      </c>
    </row>
    <row r="411" spans="1:38" x14ac:dyDescent="0.3">
      <c r="A411">
        <v>304873</v>
      </c>
      <c r="B411" t="s">
        <v>76</v>
      </c>
      <c r="C411" t="s">
        <v>343</v>
      </c>
      <c r="D411">
        <v>2022</v>
      </c>
      <c r="E411" t="s">
        <v>112</v>
      </c>
      <c r="F411" t="s">
        <v>113</v>
      </c>
      <c r="M411">
        <v>145</v>
      </c>
      <c r="N411">
        <v>884</v>
      </c>
      <c r="O411">
        <v>9</v>
      </c>
      <c r="P411">
        <v>20</v>
      </c>
      <c r="Q411">
        <v>0</v>
      </c>
      <c r="R411">
        <v>194</v>
      </c>
      <c r="AK411">
        <v>1</v>
      </c>
      <c r="AL411">
        <v>0</v>
      </c>
    </row>
    <row r="412" spans="1:38" x14ac:dyDescent="0.3">
      <c r="A412">
        <v>304880</v>
      </c>
      <c r="B412" t="s">
        <v>42</v>
      </c>
      <c r="C412" t="s">
        <v>344</v>
      </c>
      <c r="D412">
        <v>2018</v>
      </c>
      <c r="E412" t="s">
        <v>102</v>
      </c>
      <c r="F412" t="s">
        <v>103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0</v>
      </c>
      <c r="Z412">
        <v>0</v>
      </c>
    </row>
    <row r="413" spans="1:38" x14ac:dyDescent="0.3">
      <c r="A413">
        <v>304880</v>
      </c>
      <c r="B413" t="s">
        <v>42</v>
      </c>
      <c r="C413" t="s">
        <v>344</v>
      </c>
      <c r="D413">
        <v>2019</v>
      </c>
      <c r="E413" t="s">
        <v>102</v>
      </c>
      <c r="F413" t="s">
        <v>103</v>
      </c>
      <c r="S413">
        <v>0</v>
      </c>
      <c r="T413">
        <v>0</v>
      </c>
      <c r="U413">
        <v>0</v>
      </c>
      <c r="V413">
        <v>1</v>
      </c>
      <c r="W413">
        <v>2</v>
      </c>
      <c r="X413">
        <v>0</v>
      </c>
      <c r="Z413">
        <v>0</v>
      </c>
    </row>
    <row r="414" spans="1:38" x14ac:dyDescent="0.3">
      <c r="A414">
        <v>304880</v>
      </c>
      <c r="B414" t="s">
        <v>42</v>
      </c>
      <c r="C414" t="s">
        <v>344</v>
      </c>
      <c r="D414">
        <v>2021</v>
      </c>
      <c r="E414" t="s">
        <v>345</v>
      </c>
      <c r="F414" t="s">
        <v>346</v>
      </c>
      <c r="S414">
        <v>5</v>
      </c>
      <c r="T414">
        <v>0</v>
      </c>
      <c r="U414">
        <v>0</v>
      </c>
      <c r="V414">
        <v>36</v>
      </c>
      <c r="W414">
        <v>58</v>
      </c>
      <c r="X414">
        <v>4</v>
      </c>
      <c r="Y414">
        <v>2</v>
      </c>
      <c r="Z414">
        <v>0</v>
      </c>
    </row>
    <row r="415" spans="1:38" x14ac:dyDescent="0.3">
      <c r="A415">
        <v>304880</v>
      </c>
      <c r="B415" t="s">
        <v>42</v>
      </c>
      <c r="C415" t="s">
        <v>344</v>
      </c>
      <c r="D415">
        <v>2022</v>
      </c>
      <c r="E415" t="s">
        <v>345</v>
      </c>
      <c r="F415" t="s">
        <v>346</v>
      </c>
      <c r="S415">
        <v>10</v>
      </c>
      <c r="T415">
        <v>1</v>
      </c>
      <c r="U415">
        <v>3</v>
      </c>
      <c r="V415">
        <v>43</v>
      </c>
      <c r="W415">
        <v>63</v>
      </c>
      <c r="X415">
        <v>8</v>
      </c>
      <c r="Y415">
        <v>2</v>
      </c>
      <c r="Z415">
        <v>0</v>
      </c>
      <c r="AK415">
        <v>0</v>
      </c>
      <c r="AL415">
        <v>0</v>
      </c>
    </row>
    <row r="416" spans="1:38" x14ac:dyDescent="0.3">
      <c r="A416">
        <v>305064</v>
      </c>
      <c r="B416" t="s">
        <v>84</v>
      </c>
      <c r="C416" t="s">
        <v>347</v>
      </c>
      <c r="D416">
        <v>2018</v>
      </c>
      <c r="E416" t="s">
        <v>348</v>
      </c>
      <c r="F416" t="s">
        <v>349</v>
      </c>
      <c r="S416">
        <v>1</v>
      </c>
      <c r="T416">
        <v>5</v>
      </c>
      <c r="U416">
        <v>1</v>
      </c>
      <c r="V416">
        <v>28</v>
      </c>
      <c r="W416">
        <v>47</v>
      </c>
      <c r="X416">
        <v>3</v>
      </c>
      <c r="Z416">
        <v>0</v>
      </c>
      <c r="AK416">
        <v>0</v>
      </c>
      <c r="AL416">
        <v>0</v>
      </c>
    </row>
    <row r="417" spans="1:38" x14ac:dyDescent="0.3">
      <c r="A417">
        <v>305064</v>
      </c>
      <c r="B417" t="s">
        <v>84</v>
      </c>
      <c r="C417" t="s">
        <v>347</v>
      </c>
      <c r="D417">
        <v>2019</v>
      </c>
      <c r="E417" t="s">
        <v>348</v>
      </c>
      <c r="F417" t="s">
        <v>349</v>
      </c>
      <c r="S417">
        <v>2</v>
      </c>
      <c r="T417">
        <v>0</v>
      </c>
      <c r="U417">
        <v>2</v>
      </c>
      <c r="V417">
        <v>42</v>
      </c>
      <c r="W417">
        <v>65</v>
      </c>
      <c r="X417">
        <v>9.5</v>
      </c>
      <c r="Z417">
        <v>0</v>
      </c>
    </row>
    <row r="418" spans="1:38" x14ac:dyDescent="0.3">
      <c r="A418">
        <v>305064</v>
      </c>
      <c r="B418" t="s">
        <v>84</v>
      </c>
      <c r="C418" t="s">
        <v>347</v>
      </c>
      <c r="D418">
        <v>2020</v>
      </c>
      <c r="E418" t="s">
        <v>348</v>
      </c>
      <c r="F418" t="s">
        <v>349</v>
      </c>
      <c r="S418">
        <v>0</v>
      </c>
      <c r="T418">
        <v>1</v>
      </c>
      <c r="U418">
        <v>2</v>
      </c>
      <c r="V418">
        <v>11</v>
      </c>
      <c r="W418">
        <v>18</v>
      </c>
      <c r="X418">
        <v>4</v>
      </c>
      <c r="Z418">
        <v>0</v>
      </c>
    </row>
    <row r="419" spans="1:38" x14ac:dyDescent="0.3">
      <c r="A419">
        <v>305064</v>
      </c>
      <c r="B419" t="s">
        <v>84</v>
      </c>
      <c r="C419" t="s">
        <v>347</v>
      </c>
      <c r="D419">
        <v>2021</v>
      </c>
      <c r="E419" t="s">
        <v>348</v>
      </c>
      <c r="F419" t="s">
        <v>349</v>
      </c>
      <c r="S419">
        <v>0</v>
      </c>
      <c r="T419">
        <v>3</v>
      </c>
      <c r="U419">
        <v>3</v>
      </c>
      <c r="V419">
        <v>35</v>
      </c>
      <c r="W419">
        <v>70</v>
      </c>
      <c r="X419">
        <v>10</v>
      </c>
      <c r="Y419">
        <v>2</v>
      </c>
      <c r="Z419">
        <v>0</v>
      </c>
      <c r="AK419">
        <v>0</v>
      </c>
      <c r="AL419">
        <v>0</v>
      </c>
    </row>
    <row r="420" spans="1:38" x14ac:dyDescent="0.3">
      <c r="A420">
        <v>305064</v>
      </c>
      <c r="B420" t="s">
        <v>84</v>
      </c>
      <c r="C420" t="s">
        <v>347</v>
      </c>
      <c r="D420">
        <v>2022</v>
      </c>
      <c r="E420" t="s">
        <v>348</v>
      </c>
      <c r="F420" t="s">
        <v>349</v>
      </c>
      <c r="S420">
        <v>2</v>
      </c>
      <c r="T420">
        <v>3</v>
      </c>
      <c r="U420">
        <v>2</v>
      </c>
      <c r="V420">
        <v>71</v>
      </c>
      <c r="W420">
        <v>112</v>
      </c>
      <c r="X420">
        <v>10.5</v>
      </c>
      <c r="Y420">
        <v>2</v>
      </c>
      <c r="Z420">
        <v>0</v>
      </c>
      <c r="AK420">
        <v>0</v>
      </c>
      <c r="AL420">
        <v>0</v>
      </c>
    </row>
    <row r="421" spans="1:38" x14ac:dyDescent="0.3">
      <c r="A421">
        <v>305093</v>
      </c>
      <c r="B421" t="s">
        <v>38</v>
      </c>
      <c r="C421" t="s">
        <v>350</v>
      </c>
      <c r="D421">
        <v>2019</v>
      </c>
      <c r="E421" t="s">
        <v>119</v>
      </c>
      <c r="F421" t="s">
        <v>120</v>
      </c>
      <c r="S421">
        <v>0</v>
      </c>
      <c r="T421">
        <v>0</v>
      </c>
      <c r="U421">
        <v>1</v>
      </c>
      <c r="V421">
        <v>6</v>
      </c>
      <c r="W421">
        <v>19</v>
      </c>
      <c r="X421">
        <v>2.5</v>
      </c>
      <c r="Z421">
        <v>0</v>
      </c>
    </row>
    <row r="422" spans="1:38" x14ac:dyDescent="0.3">
      <c r="A422">
        <v>305093</v>
      </c>
      <c r="B422" t="s">
        <v>38</v>
      </c>
      <c r="C422" t="s">
        <v>350</v>
      </c>
      <c r="D422">
        <v>2020</v>
      </c>
      <c r="E422" t="s">
        <v>259</v>
      </c>
      <c r="F422" t="s">
        <v>260</v>
      </c>
      <c r="S422">
        <v>0</v>
      </c>
      <c r="T422">
        <v>0</v>
      </c>
      <c r="U422">
        <v>1</v>
      </c>
      <c r="V422">
        <v>6</v>
      </c>
      <c r="W422">
        <v>14</v>
      </c>
      <c r="X422">
        <v>1.5</v>
      </c>
      <c r="Z422">
        <v>0</v>
      </c>
    </row>
    <row r="423" spans="1:38" x14ac:dyDescent="0.3">
      <c r="A423">
        <v>305093</v>
      </c>
      <c r="B423" t="s">
        <v>38</v>
      </c>
      <c r="C423" t="s">
        <v>350</v>
      </c>
      <c r="D423">
        <v>2021</v>
      </c>
      <c r="E423" t="s">
        <v>259</v>
      </c>
      <c r="F423" t="s">
        <v>260</v>
      </c>
      <c r="S423">
        <v>0</v>
      </c>
      <c r="T423">
        <v>2</v>
      </c>
      <c r="U423">
        <v>2</v>
      </c>
      <c r="V423">
        <v>10</v>
      </c>
      <c r="W423">
        <v>28</v>
      </c>
      <c r="X423">
        <v>4.5</v>
      </c>
      <c r="Z423">
        <v>0</v>
      </c>
    </row>
    <row r="424" spans="1:38" x14ac:dyDescent="0.3">
      <c r="A424">
        <v>305093</v>
      </c>
      <c r="B424" t="s">
        <v>38</v>
      </c>
      <c r="C424" t="s">
        <v>350</v>
      </c>
      <c r="D424">
        <v>2022</v>
      </c>
      <c r="E424" t="s">
        <v>259</v>
      </c>
      <c r="F424" t="s">
        <v>260</v>
      </c>
      <c r="S424">
        <v>1</v>
      </c>
      <c r="T424">
        <v>0</v>
      </c>
      <c r="U424">
        <v>1</v>
      </c>
      <c r="V424">
        <v>5</v>
      </c>
      <c r="W424">
        <v>10</v>
      </c>
      <c r="X424">
        <v>2</v>
      </c>
      <c r="Z424">
        <v>0</v>
      </c>
    </row>
    <row r="425" spans="1:38" x14ac:dyDescent="0.3">
      <c r="A425">
        <v>305093</v>
      </c>
      <c r="B425" t="s">
        <v>38</v>
      </c>
      <c r="C425" t="s">
        <v>350</v>
      </c>
      <c r="D425">
        <v>2023</v>
      </c>
      <c r="E425" t="s">
        <v>259</v>
      </c>
      <c r="F425" t="s">
        <v>260</v>
      </c>
      <c r="S425">
        <v>3</v>
      </c>
      <c r="T425">
        <v>0</v>
      </c>
      <c r="U425">
        <v>1</v>
      </c>
      <c r="V425">
        <v>10</v>
      </c>
      <c r="W425">
        <v>21</v>
      </c>
      <c r="X425">
        <v>4</v>
      </c>
      <c r="Z425">
        <v>0</v>
      </c>
    </row>
    <row r="426" spans="1:38" x14ac:dyDescent="0.3">
      <c r="A426">
        <v>305132</v>
      </c>
      <c r="B426" t="s">
        <v>46</v>
      </c>
      <c r="C426" t="s">
        <v>351</v>
      </c>
      <c r="D426">
        <v>2018</v>
      </c>
      <c r="E426" t="s">
        <v>286</v>
      </c>
      <c r="F426" t="s">
        <v>287</v>
      </c>
      <c r="M426">
        <v>8</v>
      </c>
      <c r="N426">
        <v>163</v>
      </c>
      <c r="O426">
        <v>2</v>
      </c>
      <c r="P426">
        <v>31</v>
      </c>
      <c r="Q426">
        <v>6</v>
      </c>
      <c r="R426">
        <v>504</v>
      </c>
      <c r="AA426">
        <v>10.1</v>
      </c>
      <c r="AB426">
        <v>26</v>
      </c>
      <c r="AC426">
        <v>10</v>
      </c>
      <c r="AD426">
        <v>0</v>
      </c>
      <c r="AE426">
        <v>101</v>
      </c>
      <c r="AF426">
        <v>2</v>
      </c>
      <c r="AG426">
        <v>0</v>
      </c>
      <c r="AH426">
        <v>1</v>
      </c>
      <c r="AI426">
        <v>0</v>
      </c>
      <c r="AJ426">
        <v>2</v>
      </c>
      <c r="AK426">
        <v>1</v>
      </c>
      <c r="AL426">
        <v>1</v>
      </c>
    </row>
    <row r="427" spans="1:38" x14ac:dyDescent="0.3">
      <c r="A427">
        <v>305132</v>
      </c>
      <c r="B427" t="s">
        <v>46</v>
      </c>
      <c r="C427" t="s">
        <v>351</v>
      </c>
      <c r="D427">
        <v>2019</v>
      </c>
      <c r="E427" t="s">
        <v>286</v>
      </c>
      <c r="F427" t="s">
        <v>287</v>
      </c>
      <c r="G427">
        <v>2</v>
      </c>
      <c r="H427">
        <v>1</v>
      </c>
      <c r="I427">
        <v>4</v>
      </c>
      <c r="J427">
        <v>0.5</v>
      </c>
      <c r="K427">
        <v>0</v>
      </c>
      <c r="L427">
        <v>0</v>
      </c>
      <c r="M427">
        <v>15</v>
      </c>
      <c r="N427">
        <v>139</v>
      </c>
      <c r="O427">
        <v>0</v>
      </c>
      <c r="P427">
        <v>51</v>
      </c>
      <c r="Q427">
        <v>8</v>
      </c>
      <c r="R427">
        <v>943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1</v>
      </c>
      <c r="AA427">
        <v>24.6</v>
      </c>
      <c r="AB427">
        <v>98</v>
      </c>
      <c r="AC427">
        <v>26</v>
      </c>
      <c r="AD427">
        <v>1</v>
      </c>
      <c r="AE427">
        <v>639</v>
      </c>
      <c r="AK427">
        <v>1</v>
      </c>
      <c r="AL427">
        <v>1</v>
      </c>
    </row>
    <row r="428" spans="1:38" x14ac:dyDescent="0.3">
      <c r="A428">
        <v>305227</v>
      </c>
      <c r="B428" t="s">
        <v>69</v>
      </c>
      <c r="C428" t="s">
        <v>352</v>
      </c>
      <c r="D428">
        <v>2018</v>
      </c>
      <c r="E428" t="s">
        <v>116</v>
      </c>
      <c r="F428" t="s">
        <v>117</v>
      </c>
      <c r="S428">
        <v>0</v>
      </c>
      <c r="T428">
        <v>1</v>
      </c>
      <c r="U428">
        <v>0</v>
      </c>
      <c r="V428">
        <v>6</v>
      </c>
      <c r="W428">
        <v>9</v>
      </c>
      <c r="X428">
        <v>2</v>
      </c>
      <c r="Z428">
        <v>0</v>
      </c>
    </row>
    <row r="429" spans="1:38" x14ac:dyDescent="0.3">
      <c r="A429">
        <v>305227</v>
      </c>
      <c r="B429" t="s">
        <v>69</v>
      </c>
      <c r="C429" t="s">
        <v>352</v>
      </c>
      <c r="D429">
        <v>2022</v>
      </c>
      <c r="E429" t="s">
        <v>95</v>
      </c>
      <c r="F429" t="s">
        <v>96</v>
      </c>
      <c r="S429">
        <v>0</v>
      </c>
      <c r="T429">
        <v>1</v>
      </c>
      <c r="U429">
        <v>3</v>
      </c>
      <c r="V429">
        <v>6</v>
      </c>
      <c r="W429">
        <v>15</v>
      </c>
      <c r="X429">
        <v>4.5</v>
      </c>
      <c r="Z429">
        <v>0</v>
      </c>
    </row>
    <row r="430" spans="1:38" x14ac:dyDescent="0.3">
      <c r="A430">
        <v>305227</v>
      </c>
      <c r="B430" t="s">
        <v>69</v>
      </c>
      <c r="C430" t="s">
        <v>352</v>
      </c>
      <c r="D430">
        <v>2023</v>
      </c>
      <c r="E430" t="s">
        <v>190</v>
      </c>
      <c r="F430" t="s">
        <v>191</v>
      </c>
      <c r="S430">
        <v>1</v>
      </c>
      <c r="T430">
        <v>9</v>
      </c>
      <c r="U430">
        <v>5.5</v>
      </c>
      <c r="V430">
        <v>19</v>
      </c>
      <c r="W430">
        <v>48</v>
      </c>
      <c r="X430">
        <v>9.5</v>
      </c>
      <c r="Z430">
        <v>0</v>
      </c>
    </row>
    <row r="431" spans="1:38" x14ac:dyDescent="0.3">
      <c r="A431">
        <v>305277</v>
      </c>
      <c r="B431" t="s">
        <v>38</v>
      </c>
      <c r="C431" t="s">
        <v>353</v>
      </c>
      <c r="D431">
        <v>2018</v>
      </c>
      <c r="E431" t="s">
        <v>67</v>
      </c>
      <c r="F431" t="s">
        <v>68</v>
      </c>
      <c r="S431">
        <v>0</v>
      </c>
      <c r="T431">
        <v>1</v>
      </c>
      <c r="U431">
        <v>0</v>
      </c>
      <c r="V431">
        <v>7</v>
      </c>
      <c r="W431">
        <v>14</v>
      </c>
      <c r="X431">
        <v>1</v>
      </c>
      <c r="Z431">
        <v>0</v>
      </c>
    </row>
    <row r="432" spans="1:38" x14ac:dyDescent="0.3">
      <c r="A432">
        <v>305277</v>
      </c>
      <c r="B432" t="s">
        <v>38</v>
      </c>
      <c r="C432" t="s">
        <v>353</v>
      </c>
      <c r="D432">
        <v>2019</v>
      </c>
      <c r="E432" t="s">
        <v>67</v>
      </c>
      <c r="F432" t="s">
        <v>68</v>
      </c>
      <c r="S432">
        <v>0</v>
      </c>
      <c r="T432">
        <v>1</v>
      </c>
      <c r="U432">
        <v>1</v>
      </c>
      <c r="V432">
        <v>14</v>
      </c>
      <c r="W432">
        <v>37</v>
      </c>
      <c r="X432">
        <v>4.5</v>
      </c>
      <c r="Z432">
        <v>0</v>
      </c>
    </row>
    <row r="433" spans="1:38" x14ac:dyDescent="0.3">
      <c r="A433">
        <v>305277</v>
      </c>
      <c r="B433" t="s">
        <v>38</v>
      </c>
      <c r="C433" t="s">
        <v>353</v>
      </c>
      <c r="D433">
        <v>2020</v>
      </c>
      <c r="E433" t="s">
        <v>67</v>
      </c>
      <c r="F433" t="s">
        <v>68</v>
      </c>
      <c r="S433">
        <v>1</v>
      </c>
      <c r="T433">
        <v>2</v>
      </c>
      <c r="U433">
        <v>1</v>
      </c>
      <c r="V433">
        <v>13</v>
      </c>
      <c r="W433">
        <v>35</v>
      </c>
      <c r="X433">
        <v>1.5</v>
      </c>
      <c r="Z433">
        <v>0</v>
      </c>
    </row>
    <row r="434" spans="1:38" x14ac:dyDescent="0.3">
      <c r="A434">
        <v>305277</v>
      </c>
      <c r="B434" t="s">
        <v>38</v>
      </c>
      <c r="C434" t="s">
        <v>353</v>
      </c>
      <c r="D434">
        <v>2021</v>
      </c>
      <c r="E434" t="s">
        <v>67</v>
      </c>
      <c r="F434" t="s">
        <v>68</v>
      </c>
      <c r="M434">
        <v>1</v>
      </c>
      <c r="N434">
        <v>0</v>
      </c>
      <c r="O434">
        <v>0</v>
      </c>
      <c r="S434">
        <v>0</v>
      </c>
      <c r="T434">
        <v>0</v>
      </c>
      <c r="U434">
        <v>1</v>
      </c>
      <c r="V434">
        <v>16</v>
      </c>
      <c r="W434">
        <v>21</v>
      </c>
      <c r="X434">
        <v>3</v>
      </c>
      <c r="Z434">
        <v>0</v>
      </c>
    </row>
    <row r="435" spans="1:38" x14ac:dyDescent="0.3">
      <c r="A435">
        <v>305277</v>
      </c>
      <c r="B435" t="s">
        <v>38</v>
      </c>
      <c r="C435" t="s">
        <v>353</v>
      </c>
      <c r="D435">
        <v>2022</v>
      </c>
      <c r="E435" t="s">
        <v>67</v>
      </c>
      <c r="F435" t="s">
        <v>68</v>
      </c>
      <c r="S435">
        <v>0</v>
      </c>
      <c r="T435">
        <v>1</v>
      </c>
      <c r="U435">
        <v>0</v>
      </c>
      <c r="V435">
        <v>17</v>
      </c>
      <c r="W435">
        <v>33</v>
      </c>
      <c r="X435">
        <v>0.5</v>
      </c>
      <c r="Z435">
        <v>0</v>
      </c>
    </row>
    <row r="436" spans="1:38" x14ac:dyDescent="0.3">
      <c r="A436">
        <v>305324</v>
      </c>
      <c r="B436" t="s">
        <v>54</v>
      </c>
      <c r="C436" t="s">
        <v>354</v>
      </c>
      <c r="D436">
        <v>2018</v>
      </c>
      <c r="E436" t="s">
        <v>56</v>
      </c>
      <c r="F436" t="s">
        <v>57</v>
      </c>
      <c r="G436">
        <v>51</v>
      </c>
      <c r="H436">
        <v>32</v>
      </c>
      <c r="I436">
        <v>442</v>
      </c>
      <c r="J436">
        <v>0.627</v>
      </c>
      <c r="K436">
        <v>5</v>
      </c>
      <c r="L436">
        <v>3</v>
      </c>
      <c r="M436">
        <v>16</v>
      </c>
      <c r="N436">
        <v>93</v>
      </c>
      <c r="O436">
        <v>0</v>
      </c>
      <c r="AK436">
        <v>1</v>
      </c>
      <c r="AL436">
        <v>0</v>
      </c>
    </row>
    <row r="437" spans="1:38" x14ac:dyDescent="0.3">
      <c r="A437">
        <v>305324</v>
      </c>
      <c r="B437" t="s">
        <v>54</v>
      </c>
      <c r="C437" t="s">
        <v>354</v>
      </c>
      <c r="D437">
        <v>2019</v>
      </c>
      <c r="E437" t="s">
        <v>56</v>
      </c>
      <c r="F437" t="s">
        <v>57</v>
      </c>
      <c r="G437">
        <v>85</v>
      </c>
      <c r="H437">
        <v>50</v>
      </c>
      <c r="I437">
        <v>581</v>
      </c>
      <c r="J437">
        <v>0.58799999999999997</v>
      </c>
      <c r="K437">
        <v>4</v>
      </c>
      <c r="L437">
        <v>1</v>
      </c>
      <c r="M437">
        <v>14</v>
      </c>
      <c r="N437">
        <v>94</v>
      </c>
      <c r="O437">
        <v>1</v>
      </c>
    </row>
    <row r="438" spans="1:38" x14ac:dyDescent="0.3">
      <c r="A438">
        <v>305324</v>
      </c>
      <c r="B438" t="s">
        <v>54</v>
      </c>
      <c r="C438" t="s">
        <v>354</v>
      </c>
      <c r="D438">
        <v>2020</v>
      </c>
      <c r="E438" t="s">
        <v>327</v>
      </c>
      <c r="F438" t="s">
        <v>328</v>
      </c>
      <c r="G438">
        <v>351</v>
      </c>
      <c r="H438">
        <v>192</v>
      </c>
      <c r="I438">
        <v>2162</v>
      </c>
      <c r="J438">
        <v>0.54700000000000004</v>
      </c>
      <c r="K438">
        <v>10</v>
      </c>
      <c r="L438">
        <v>15</v>
      </c>
      <c r="M438">
        <v>91</v>
      </c>
      <c r="N438">
        <v>89</v>
      </c>
      <c r="O438">
        <v>1</v>
      </c>
      <c r="AK438">
        <v>8</v>
      </c>
      <c r="AL438">
        <v>6</v>
      </c>
    </row>
    <row r="439" spans="1:38" x14ac:dyDescent="0.3">
      <c r="A439">
        <v>305324</v>
      </c>
      <c r="B439" t="s">
        <v>54</v>
      </c>
      <c r="C439" t="s">
        <v>354</v>
      </c>
      <c r="D439">
        <v>2021</v>
      </c>
      <c r="E439" t="s">
        <v>355</v>
      </c>
      <c r="F439" t="s">
        <v>356</v>
      </c>
      <c r="G439">
        <v>390</v>
      </c>
      <c r="H439">
        <v>242</v>
      </c>
      <c r="I439">
        <v>3337</v>
      </c>
      <c r="J439">
        <v>0.621</v>
      </c>
      <c r="K439">
        <v>27</v>
      </c>
      <c r="L439">
        <v>11</v>
      </c>
      <c r="M439">
        <v>71</v>
      </c>
      <c r="N439">
        <v>149</v>
      </c>
      <c r="O439">
        <v>3</v>
      </c>
      <c r="S439">
        <v>0</v>
      </c>
      <c r="T439">
        <v>0</v>
      </c>
      <c r="U439">
        <v>0</v>
      </c>
      <c r="V439">
        <v>3</v>
      </c>
      <c r="W439">
        <v>3</v>
      </c>
      <c r="X439">
        <v>0</v>
      </c>
      <c r="Z439">
        <v>0</v>
      </c>
      <c r="AK439">
        <v>6</v>
      </c>
      <c r="AL439">
        <v>4</v>
      </c>
    </row>
    <row r="440" spans="1:38" x14ac:dyDescent="0.3">
      <c r="A440">
        <v>305324</v>
      </c>
      <c r="B440" t="s">
        <v>54</v>
      </c>
      <c r="C440" t="s">
        <v>354</v>
      </c>
      <c r="D440">
        <v>2022</v>
      </c>
      <c r="E440" t="s">
        <v>355</v>
      </c>
      <c r="F440" t="s">
        <v>356</v>
      </c>
      <c r="G440">
        <v>348</v>
      </c>
      <c r="H440">
        <v>219</v>
      </c>
      <c r="I440">
        <v>2915</v>
      </c>
      <c r="J440">
        <v>0.629</v>
      </c>
      <c r="K440">
        <v>27</v>
      </c>
      <c r="L440">
        <v>6</v>
      </c>
      <c r="M440">
        <v>71</v>
      </c>
      <c r="N440">
        <v>117</v>
      </c>
      <c r="O440">
        <v>4</v>
      </c>
      <c r="AK440">
        <v>4</v>
      </c>
      <c r="AL440">
        <v>2</v>
      </c>
    </row>
    <row r="441" spans="1:38" x14ac:dyDescent="0.3">
      <c r="A441">
        <v>305334</v>
      </c>
      <c r="B441" t="s">
        <v>178</v>
      </c>
      <c r="C441" t="s">
        <v>357</v>
      </c>
      <c r="D441">
        <v>2020</v>
      </c>
      <c r="E441" t="s">
        <v>56</v>
      </c>
      <c r="F441" t="s">
        <v>57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Z441">
        <v>0</v>
      </c>
    </row>
    <row r="442" spans="1:38" x14ac:dyDescent="0.3">
      <c r="A442">
        <v>305339</v>
      </c>
      <c r="B442" t="s">
        <v>69</v>
      </c>
      <c r="C442" t="s">
        <v>358</v>
      </c>
      <c r="D442">
        <v>2018</v>
      </c>
      <c r="E442" t="s">
        <v>56</v>
      </c>
      <c r="F442" t="s">
        <v>57</v>
      </c>
      <c r="S442">
        <v>2</v>
      </c>
      <c r="T442">
        <v>4</v>
      </c>
      <c r="U442">
        <v>3</v>
      </c>
      <c r="V442">
        <v>16</v>
      </c>
      <c r="W442">
        <v>30</v>
      </c>
      <c r="X442">
        <v>7.5</v>
      </c>
      <c r="Z442">
        <v>0</v>
      </c>
    </row>
    <row r="443" spans="1:38" x14ac:dyDescent="0.3">
      <c r="A443">
        <v>305339</v>
      </c>
      <c r="B443" t="s">
        <v>69</v>
      </c>
      <c r="C443" t="s">
        <v>358</v>
      </c>
      <c r="D443">
        <v>2019</v>
      </c>
      <c r="E443" t="s">
        <v>56</v>
      </c>
      <c r="F443" t="s">
        <v>57</v>
      </c>
      <c r="M443">
        <v>1</v>
      </c>
      <c r="N443">
        <v>1</v>
      </c>
      <c r="O443">
        <v>0</v>
      </c>
      <c r="S443">
        <v>2</v>
      </c>
      <c r="T443">
        <v>4</v>
      </c>
      <c r="U443">
        <v>2</v>
      </c>
      <c r="V443">
        <v>10</v>
      </c>
      <c r="W443">
        <v>27</v>
      </c>
      <c r="X443">
        <v>8</v>
      </c>
      <c r="Z443">
        <v>0</v>
      </c>
      <c r="AK443">
        <v>0</v>
      </c>
      <c r="AL443">
        <v>0</v>
      </c>
    </row>
    <row r="444" spans="1:38" x14ac:dyDescent="0.3">
      <c r="A444">
        <v>305339</v>
      </c>
      <c r="B444" t="s">
        <v>69</v>
      </c>
      <c r="C444" t="s">
        <v>358</v>
      </c>
      <c r="D444">
        <v>2020</v>
      </c>
      <c r="E444" t="s">
        <v>56</v>
      </c>
      <c r="F444" t="s">
        <v>57</v>
      </c>
      <c r="S444">
        <v>0</v>
      </c>
      <c r="T444">
        <v>0</v>
      </c>
      <c r="U444">
        <v>3.5</v>
      </c>
      <c r="V444">
        <v>4</v>
      </c>
      <c r="W444">
        <v>6</v>
      </c>
      <c r="X444">
        <v>4</v>
      </c>
      <c r="Z444">
        <v>0</v>
      </c>
    </row>
    <row r="445" spans="1:38" x14ac:dyDescent="0.3">
      <c r="A445">
        <v>305339</v>
      </c>
      <c r="B445" t="s">
        <v>69</v>
      </c>
      <c r="C445" t="s">
        <v>358</v>
      </c>
      <c r="D445">
        <v>2021</v>
      </c>
      <c r="E445" t="s">
        <v>56</v>
      </c>
      <c r="F445" t="s">
        <v>57</v>
      </c>
      <c r="S445">
        <v>1</v>
      </c>
      <c r="T445">
        <v>14</v>
      </c>
      <c r="U445">
        <v>3.5</v>
      </c>
      <c r="V445">
        <v>12</v>
      </c>
      <c r="W445">
        <v>21</v>
      </c>
      <c r="X445">
        <v>5.5</v>
      </c>
      <c r="Z445">
        <v>0</v>
      </c>
    </row>
    <row r="446" spans="1:38" x14ac:dyDescent="0.3">
      <c r="A446">
        <v>305339</v>
      </c>
      <c r="B446" t="s">
        <v>69</v>
      </c>
      <c r="C446" t="s">
        <v>358</v>
      </c>
      <c r="D446">
        <v>2022</v>
      </c>
      <c r="E446" t="s">
        <v>56</v>
      </c>
      <c r="F446" t="s">
        <v>57</v>
      </c>
      <c r="S446">
        <v>0</v>
      </c>
      <c r="T446">
        <v>2</v>
      </c>
      <c r="U446">
        <v>2</v>
      </c>
      <c r="V446">
        <v>2</v>
      </c>
      <c r="W446">
        <v>4</v>
      </c>
      <c r="X446">
        <v>2</v>
      </c>
      <c r="Z446">
        <v>0</v>
      </c>
    </row>
    <row r="447" spans="1:38" x14ac:dyDescent="0.3">
      <c r="A447">
        <v>305339</v>
      </c>
      <c r="B447" t="s">
        <v>69</v>
      </c>
      <c r="C447" t="s">
        <v>358</v>
      </c>
      <c r="D447">
        <v>2023</v>
      </c>
      <c r="E447" t="s">
        <v>56</v>
      </c>
      <c r="F447" t="s">
        <v>57</v>
      </c>
      <c r="S447">
        <v>2</v>
      </c>
      <c r="T447">
        <v>10</v>
      </c>
      <c r="U447">
        <v>3</v>
      </c>
      <c r="V447">
        <v>16</v>
      </c>
      <c r="W447">
        <v>24</v>
      </c>
      <c r="X447">
        <v>4</v>
      </c>
      <c r="Z447">
        <v>0</v>
      </c>
      <c r="AK447">
        <v>0</v>
      </c>
      <c r="AL447">
        <v>0</v>
      </c>
    </row>
    <row r="448" spans="1:38" x14ac:dyDescent="0.3">
      <c r="A448">
        <v>305371</v>
      </c>
      <c r="B448" t="s">
        <v>42</v>
      </c>
      <c r="C448" t="s">
        <v>359</v>
      </c>
      <c r="D448">
        <v>2018</v>
      </c>
      <c r="E448" t="s">
        <v>52</v>
      </c>
      <c r="F448" t="s">
        <v>53</v>
      </c>
      <c r="S448">
        <v>3</v>
      </c>
      <c r="T448">
        <v>0</v>
      </c>
      <c r="U448">
        <v>0</v>
      </c>
      <c r="V448">
        <v>28</v>
      </c>
      <c r="W448">
        <v>45</v>
      </c>
      <c r="X448">
        <v>0</v>
      </c>
      <c r="Y448">
        <v>1</v>
      </c>
      <c r="Z448">
        <v>0</v>
      </c>
    </row>
    <row r="449" spans="1:38" x14ac:dyDescent="0.3">
      <c r="A449">
        <v>305371</v>
      </c>
      <c r="B449" t="s">
        <v>42</v>
      </c>
      <c r="C449" t="s">
        <v>359</v>
      </c>
      <c r="D449">
        <v>2019</v>
      </c>
      <c r="E449" t="s">
        <v>52</v>
      </c>
      <c r="F449" t="s">
        <v>53</v>
      </c>
      <c r="S449">
        <v>6</v>
      </c>
      <c r="T449">
        <v>1</v>
      </c>
      <c r="U449">
        <v>0</v>
      </c>
      <c r="V449">
        <v>40</v>
      </c>
      <c r="W449">
        <v>57</v>
      </c>
      <c r="X449">
        <v>0.5</v>
      </c>
      <c r="Y449">
        <v>1</v>
      </c>
      <c r="Z449">
        <v>0</v>
      </c>
    </row>
    <row r="450" spans="1:38" x14ac:dyDescent="0.3">
      <c r="A450">
        <v>305371</v>
      </c>
      <c r="B450" t="s">
        <v>42</v>
      </c>
      <c r="C450" t="s">
        <v>359</v>
      </c>
      <c r="D450">
        <v>2020</v>
      </c>
      <c r="E450" t="s">
        <v>52</v>
      </c>
      <c r="F450" t="s">
        <v>53</v>
      </c>
      <c r="S450">
        <v>1</v>
      </c>
      <c r="T450">
        <v>0</v>
      </c>
      <c r="U450">
        <v>0</v>
      </c>
      <c r="V450">
        <v>26</v>
      </c>
      <c r="W450">
        <v>37</v>
      </c>
      <c r="X450">
        <v>0</v>
      </c>
      <c r="Z450">
        <v>0</v>
      </c>
    </row>
    <row r="451" spans="1:38" x14ac:dyDescent="0.3">
      <c r="A451">
        <v>305371</v>
      </c>
      <c r="B451" t="s">
        <v>42</v>
      </c>
      <c r="C451" t="s">
        <v>359</v>
      </c>
      <c r="D451">
        <v>2021</v>
      </c>
      <c r="E451" t="s">
        <v>52</v>
      </c>
      <c r="F451" t="s">
        <v>53</v>
      </c>
      <c r="S451">
        <v>5</v>
      </c>
      <c r="T451">
        <v>0</v>
      </c>
      <c r="U451">
        <v>0</v>
      </c>
      <c r="V451">
        <v>34</v>
      </c>
      <c r="W451">
        <v>43</v>
      </c>
      <c r="X451">
        <v>1.5</v>
      </c>
      <c r="Z451">
        <v>0</v>
      </c>
    </row>
    <row r="452" spans="1:38" x14ac:dyDescent="0.3">
      <c r="A452">
        <v>305371</v>
      </c>
      <c r="B452" t="s">
        <v>42</v>
      </c>
      <c r="C452" t="s">
        <v>359</v>
      </c>
      <c r="D452">
        <v>2022</v>
      </c>
      <c r="E452" t="s">
        <v>52</v>
      </c>
      <c r="F452" t="s">
        <v>53</v>
      </c>
      <c r="S452">
        <v>4</v>
      </c>
      <c r="T452">
        <v>0</v>
      </c>
      <c r="U452">
        <v>0</v>
      </c>
      <c r="V452">
        <v>34</v>
      </c>
      <c r="W452">
        <v>51</v>
      </c>
      <c r="X452">
        <v>2.5</v>
      </c>
      <c r="Y452">
        <v>2</v>
      </c>
      <c r="Z452">
        <v>0</v>
      </c>
    </row>
    <row r="453" spans="1:38" x14ac:dyDescent="0.3">
      <c r="A453">
        <v>305372</v>
      </c>
      <c r="B453" t="s">
        <v>76</v>
      </c>
      <c r="C453" t="s">
        <v>360</v>
      </c>
      <c r="D453">
        <v>2018</v>
      </c>
      <c r="E453" t="s">
        <v>52</v>
      </c>
      <c r="F453" t="s">
        <v>53</v>
      </c>
      <c r="M453">
        <v>202</v>
      </c>
      <c r="N453">
        <v>1161</v>
      </c>
      <c r="O453">
        <v>9</v>
      </c>
      <c r="P453">
        <v>4</v>
      </c>
      <c r="Q453">
        <v>0</v>
      </c>
      <c r="R453">
        <v>26</v>
      </c>
      <c r="AA453">
        <v>19</v>
      </c>
      <c r="AB453">
        <v>19</v>
      </c>
      <c r="AC453">
        <v>1</v>
      </c>
      <c r="AD453">
        <v>0</v>
      </c>
      <c r="AE453">
        <v>19</v>
      </c>
    </row>
    <row r="454" spans="1:38" x14ac:dyDescent="0.3">
      <c r="A454">
        <v>305372</v>
      </c>
      <c r="B454" t="s">
        <v>76</v>
      </c>
      <c r="C454" t="s">
        <v>360</v>
      </c>
      <c r="D454">
        <v>2019</v>
      </c>
      <c r="E454" t="s">
        <v>52</v>
      </c>
      <c r="F454" t="s">
        <v>53</v>
      </c>
      <c r="M454">
        <v>114</v>
      </c>
      <c r="N454">
        <v>604</v>
      </c>
      <c r="O454">
        <v>7</v>
      </c>
      <c r="P454">
        <v>3</v>
      </c>
      <c r="Q454">
        <v>0</v>
      </c>
      <c r="R454">
        <v>13</v>
      </c>
      <c r="AK454">
        <v>1</v>
      </c>
      <c r="AL454">
        <v>1</v>
      </c>
    </row>
    <row r="455" spans="1:38" x14ac:dyDescent="0.3">
      <c r="A455">
        <v>305372</v>
      </c>
      <c r="B455" t="s">
        <v>76</v>
      </c>
      <c r="C455" t="s">
        <v>360</v>
      </c>
      <c r="D455">
        <v>2020</v>
      </c>
      <c r="E455" t="s">
        <v>52</v>
      </c>
      <c r="F455" t="s">
        <v>53</v>
      </c>
      <c r="M455">
        <v>201</v>
      </c>
      <c r="N455">
        <v>1076</v>
      </c>
      <c r="O455">
        <v>15</v>
      </c>
      <c r="P455">
        <v>8</v>
      </c>
      <c r="Q455">
        <v>0</v>
      </c>
      <c r="R455">
        <v>56</v>
      </c>
      <c r="AA455">
        <v>23.5</v>
      </c>
      <c r="AB455">
        <v>27</v>
      </c>
      <c r="AC455">
        <v>2</v>
      </c>
      <c r="AD455">
        <v>0</v>
      </c>
      <c r="AE455">
        <v>47</v>
      </c>
      <c r="AK455">
        <v>1</v>
      </c>
      <c r="AL455">
        <v>1</v>
      </c>
    </row>
    <row r="456" spans="1:38" x14ac:dyDescent="0.3">
      <c r="A456">
        <v>305372</v>
      </c>
      <c r="B456" t="s">
        <v>76</v>
      </c>
      <c r="C456" t="s">
        <v>360</v>
      </c>
      <c r="D456">
        <v>2021</v>
      </c>
      <c r="E456" t="s">
        <v>52</v>
      </c>
      <c r="F456" t="s">
        <v>53</v>
      </c>
      <c r="M456">
        <v>30</v>
      </c>
      <c r="N456">
        <v>163</v>
      </c>
      <c r="O456">
        <v>2</v>
      </c>
    </row>
    <row r="457" spans="1:38" x14ac:dyDescent="0.3">
      <c r="A457">
        <v>305372</v>
      </c>
      <c r="B457" t="s">
        <v>76</v>
      </c>
      <c r="C457" t="s">
        <v>360</v>
      </c>
      <c r="D457">
        <v>2022</v>
      </c>
      <c r="E457" t="s">
        <v>52</v>
      </c>
      <c r="F457" t="s">
        <v>53</v>
      </c>
      <c r="M457">
        <v>320</v>
      </c>
      <c r="N457">
        <v>1665</v>
      </c>
      <c r="O457">
        <v>20</v>
      </c>
      <c r="P457">
        <v>7</v>
      </c>
      <c r="Q457">
        <v>0</v>
      </c>
      <c r="R457">
        <v>50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Z457">
        <v>0</v>
      </c>
      <c r="AK457">
        <v>2</v>
      </c>
      <c r="AL457">
        <v>2</v>
      </c>
    </row>
    <row r="458" spans="1:38" x14ac:dyDescent="0.3">
      <c r="A458">
        <v>305376</v>
      </c>
      <c r="B458" t="s">
        <v>54</v>
      </c>
      <c r="C458" t="s">
        <v>361</v>
      </c>
      <c r="D458">
        <v>2018</v>
      </c>
      <c r="E458" t="s">
        <v>52</v>
      </c>
      <c r="F458" t="s">
        <v>53</v>
      </c>
      <c r="G458">
        <v>153</v>
      </c>
      <c r="H458">
        <v>89</v>
      </c>
      <c r="I458">
        <v>1401</v>
      </c>
      <c r="J458">
        <v>0.58199999999999996</v>
      </c>
      <c r="K458">
        <v>9</v>
      </c>
      <c r="L458">
        <v>6</v>
      </c>
      <c r="M458">
        <v>41</v>
      </c>
      <c r="N458">
        <v>51</v>
      </c>
      <c r="O458">
        <v>1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0</v>
      </c>
      <c r="Z458">
        <v>0</v>
      </c>
      <c r="AK458">
        <v>6</v>
      </c>
      <c r="AL458">
        <v>2</v>
      </c>
    </row>
    <row r="459" spans="1:38" x14ac:dyDescent="0.3">
      <c r="A459">
        <v>305376</v>
      </c>
      <c r="B459" t="s">
        <v>54</v>
      </c>
      <c r="C459" t="s">
        <v>361</v>
      </c>
      <c r="D459">
        <v>2019</v>
      </c>
      <c r="E459" t="s">
        <v>52</v>
      </c>
      <c r="F459" t="s">
        <v>53</v>
      </c>
      <c r="G459">
        <v>318</v>
      </c>
      <c r="H459">
        <v>210</v>
      </c>
      <c r="I459">
        <v>3253</v>
      </c>
      <c r="J459">
        <v>0.66</v>
      </c>
      <c r="K459">
        <v>30</v>
      </c>
      <c r="L459">
        <v>7</v>
      </c>
      <c r="M459">
        <v>61</v>
      </c>
      <c r="N459">
        <v>-57</v>
      </c>
      <c r="O459">
        <v>1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0</v>
      </c>
      <c r="Z459">
        <v>0</v>
      </c>
      <c r="AK459">
        <v>8</v>
      </c>
      <c r="AL459">
        <v>4</v>
      </c>
    </row>
    <row r="460" spans="1:38" x14ac:dyDescent="0.3">
      <c r="A460">
        <v>305376</v>
      </c>
      <c r="B460" t="s">
        <v>54</v>
      </c>
      <c r="C460" t="s">
        <v>361</v>
      </c>
      <c r="D460">
        <v>2020</v>
      </c>
      <c r="E460" t="s">
        <v>52</v>
      </c>
      <c r="F460" t="s">
        <v>53</v>
      </c>
      <c r="G460">
        <v>183</v>
      </c>
      <c r="H460">
        <v>106</v>
      </c>
      <c r="I460">
        <v>1374</v>
      </c>
      <c r="J460">
        <v>0.57899999999999996</v>
      </c>
      <c r="K460">
        <v>7</v>
      </c>
      <c r="L460">
        <v>5</v>
      </c>
      <c r="M460">
        <v>25</v>
      </c>
      <c r="N460">
        <v>-35</v>
      </c>
      <c r="O460">
        <v>0</v>
      </c>
      <c r="AK460">
        <v>3</v>
      </c>
      <c r="AL460">
        <v>1</v>
      </c>
    </row>
    <row r="461" spans="1:38" x14ac:dyDescent="0.3">
      <c r="A461">
        <v>305376</v>
      </c>
      <c r="B461" t="s">
        <v>54</v>
      </c>
      <c r="C461" t="s">
        <v>361</v>
      </c>
      <c r="D461">
        <v>2021</v>
      </c>
      <c r="E461" t="s">
        <v>52</v>
      </c>
      <c r="F461" t="s">
        <v>53</v>
      </c>
      <c r="G461">
        <v>249</v>
      </c>
      <c r="H461">
        <v>149</v>
      </c>
      <c r="I461">
        <v>2044</v>
      </c>
      <c r="J461">
        <v>0.59799999999999998</v>
      </c>
      <c r="K461">
        <v>10</v>
      </c>
      <c r="L461">
        <v>9</v>
      </c>
      <c r="M461">
        <v>59</v>
      </c>
      <c r="N461">
        <v>-9</v>
      </c>
      <c r="O461">
        <v>2</v>
      </c>
      <c r="AK461">
        <v>4</v>
      </c>
      <c r="AL461">
        <v>2</v>
      </c>
    </row>
    <row r="462" spans="1:38" x14ac:dyDescent="0.3">
      <c r="A462">
        <v>305376</v>
      </c>
      <c r="B462" t="s">
        <v>54</v>
      </c>
      <c r="C462" t="s">
        <v>361</v>
      </c>
      <c r="D462">
        <v>2022</v>
      </c>
      <c r="E462" t="s">
        <v>52</v>
      </c>
      <c r="F462" t="s">
        <v>53</v>
      </c>
      <c r="G462">
        <v>160</v>
      </c>
      <c r="H462">
        <v>107</v>
      </c>
      <c r="I462">
        <v>1382</v>
      </c>
      <c r="J462">
        <v>0.66900000000000004</v>
      </c>
      <c r="K462">
        <v>9</v>
      </c>
      <c r="L462">
        <v>5</v>
      </c>
      <c r="M462">
        <v>34</v>
      </c>
      <c r="N462">
        <v>55</v>
      </c>
      <c r="O462">
        <v>4</v>
      </c>
      <c r="AK462">
        <v>2</v>
      </c>
      <c r="AL462">
        <v>0</v>
      </c>
    </row>
    <row r="463" spans="1:38" x14ac:dyDescent="0.3">
      <c r="A463">
        <v>305405</v>
      </c>
      <c r="B463" t="s">
        <v>76</v>
      </c>
      <c r="C463" t="s">
        <v>362</v>
      </c>
      <c r="D463">
        <v>2018</v>
      </c>
      <c r="E463" t="s">
        <v>268</v>
      </c>
      <c r="F463" t="s">
        <v>269</v>
      </c>
      <c r="M463">
        <v>2</v>
      </c>
      <c r="N463">
        <v>21</v>
      </c>
      <c r="O463">
        <v>0</v>
      </c>
    </row>
    <row r="464" spans="1:38" x14ac:dyDescent="0.3">
      <c r="A464">
        <v>305405</v>
      </c>
      <c r="B464" t="s">
        <v>76</v>
      </c>
      <c r="C464" t="s">
        <v>362</v>
      </c>
      <c r="D464">
        <v>2020</v>
      </c>
      <c r="E464" t="s">
        <v>363</v>
      </c>
      <c r="F464" t="s">
        <v>364</v>
      </c>
      <c r="M464">
        <v>87</v>
      </c>
      <c r="N464">
        <v>470</v>
      </c>
      <c r="O464">
        <v>4</v>
      </c>
      <c r="P464">
        <v>1</v>
      </c>
      <c r="Q464">
        <v>0</v>
      </c>
      <c r="R464">
        <v>11</v>
      </c>
      <c r="S464">
        <v>0</v>
      </c>
      <c r="T464">
        <v>0</v>
      </c>
      <c r="U464">
        <v>0</v>
      </c>
      <c r="V464">
        <v>1</v>
      </c>
      <c r="W464">
        <v>2</v>
      </c>
      <c r="X464">
        <v>0</v>
      </c>
      <c r="Z464">
        <v>0</v>
      </c>
      <c r="AA464">
        <v>17</v>
      </c>
      <c r="AB464">
        <v>20</v>
      </c>
      <c r="AC464">
        <v>4</v>
      </c>
      <c r="AD464">
        <v>0</v>
      </c>
      <c r="AE464">
        <v>68</v>
      </c>
      <c r="AK464">
        <v>1</v>
      </c>
      <c r="AL464">
        <v>1</v>
      </c>
    </row>
    <row r="465" spans="1:38" x14ac:dyDescent="0.3">
      <c r="A465">
        <v>305405</v>
      </c>
      <c r="B465" t="s">
        <v>76</v>
      </c>
      <c r="C465" t="s">
        <v>362</v>
      </c>
      <c r="D465">
        <v>2021</v>
      </c>
      <c r="E465" t="s">
        <v>363</v>
      </c>
      <c r="F465" t="s">
        <v>364</v>
      </c>
      <c r="M465">
        <v>100</v>
      </c>
      <c r="N465">
        <v>524</v>
      </c>
      <c r="O465">
        <v>5</v>
      </c>
      <c r="P465">
        <v>7</v>
      </c>
      <c r="Q465">
        <v>0</v>
      </c>
      <c r="R465">
        <v>67</v>
      </c>
    </row>
    <row r="466" spans="1:38" x14ac:dyDescent="0.3">
      <c r="A466">
        <v>305405</v>
      </c>
      <c r="B466" t="s">
        <v>76</v>
      </c>
      <c r="C466" t="s">
        <v>362</v>
      </c>
      <c r="D466">
        <v>2022</v>
      </c>
      <c r="E466" t="s">
        <v>363</v>
      </c>
      <c r="F466" t="s">
        <v>364</v>
      </c>
      <c r="M466">
        <v>126</v>
      </c>
      <c r="N466">
        <v>729</v>
      </c>
      <c r="O466">
        <v>5</v>
      </c>
      <c r="P466">
        <v>9</v>
      </c>
      <c r="Q466">
        <v>1</v>
      </c>
      <c r="R466">
        <v>84</v>
      </c>
      <c r="AK466">
        <v>2</v>
      </c>
      <c r="AL466">
        <v>2</v>
      </c>
    </row>
    <row r="467" spans="1:38" x14ac:dyDescent="0.3">
      <c r="A467">
        <v>305544</v>
      </c>
      <c r="B467" t="s">
        <v>38</v>
      </c>
      <c r="C467" t="s">
        <v>365</v>
      </c>
      <c r="D467">
        <v>2018</v>
      </c>
      <c r="E467" t="s">
        <v>366</v>
      </c>
      <c r="F467" t="s">
        <v>367</v>
      </c>
      <c r="S467">
        <v>0</v>
      </c>
      <c r="T467">
        <v>0</v>
      </c>
      <c r="U467">
        <v>0</v>
      </c>
      <c r="V467">
        <v>2</v>
      </c>
      <c r="W467">
        <v>6</v>
      </c>
      <c r="X467">
        <v>0.5</v>
      </c>
      <c r="Z467">
        <v>0</v>
      </c>
    </row>
    <row r="468" spans="1:38" x14ac:dyDescent="0.3">
      <c r="A468">
        <v>305544</v>
      </c>
      <c r="B468" t="s">
        <v>38</v>
      </c>
      <c r="C468" t="s">
        <v>365</v>
      </c>
      <c r="D468">
        <v>2019</v>
      </c>
      <c r="E468" t="s">
        <v>366</v>
      </c>
      <c r="F468" t="s">
        <v>367</v>
      </c>
      <c r="S468">
        <v>0</v>
      </c>
      <c r="T468">
        <v>0</v>
      </c>
      <c r="U468">
        <v>0.5</v>
      </c>
      <c r="V468">
        <v>3</v>
      </c>
      <c r="W468">
        <v>8</v>
      </c>
      <c r="X468">
        <v>0.5</v>
      </c>
      <c r="Z468">
        <v>0</v>
      </c>
    </row>
    <row r="469" spans="1:38" x14ac:dyDescent="0.3">
      <c r="A469">
        <v>305544</v>
      </c>
      <c r="B469" t="s">
        <v>38</v>
      </c>
      <c r="C469" t="s">
        <v>365</v>
      </c>
      <c r="D469">
        <v>2020</v>
      </c>
      <c r="E469" t="s">
        <v>366</v>
      </c>
      <c r="F469" t="s">
        <v>367</v>
      </c>
      <c r="S469">
        <v>0</v>
      </c>
      <c r="T469">
        <v>0</v>
      </c>
      <c r="U469">
        <v>2</v>
      </c>
      <c r="V469">
        <v>20</v>
      </c>
      <c r="W469">
        <v>35</v>
      </c>
      <c r="X469">
        <v>6</v>
      </c>
      <c r="Z469">
        <v>0</v>
      </c>
    </row>
    <row r="470" spans="1:38" x14ac:dyDescent="0.3">
      <c r="A470">
        <v>305544</v>
      </c>
      <c r="B470" t="s">
        <v>38</v>
      </c>
      <c r="C470" t="s">
        <v>365</v>
      </c>
      <c r="D470">
        <v>2021</v>
      </c>
      <c r="E470" t="s">
        <v>366</v>
      </c>
      <c r="F470" t="s">
        <v>367</v>
      </c>
      <c r="S470">
        <v>1</v>
      </c>
      <c r="T470">
        <v>0</v>
      </c>
      <c r="U470">
        <v>0</v>
      </c>
      <c r="V470">
        <v>5</v>
      </c>
      <c r="W470">
        <v>11</v>
      </c>
      <c r="X470">
        <v>2.5</v>
      </c>
      <c r="Z470">
        <v>0</v>
      </c>
    </row>
    <row r="471" spans="1:38" x14ac:dyDescent="0.3">
      <c r="A471">
        <v>305544</v>
      </c>
      <c r="B471" t="s">
        <v>38</v>
      </c>
      <c r="C471" t="s">
        <v>365</v>
      </c>
      <c r="D471">
        <v>2022</v>
      </c>
      <c r="E471" t="s">
        <v>145</v>
      </c>
      <c r="F471" t="s">
        <v>146</v>
      </c>
      <c r="S471">
        <v>1</v>
      </c>
      <c r="T471">
        <v>0</v>
      </c>
      <c r="U471">
        <v>1</v>
      </c>
      <c r="V471">
        <v>6</v>
      </c>
      <c r="W471">
        <v>23</v>
      </c>
      <c r="X471">
        <v>2.5</v>
      </c>
      <c r="Z471">
        <v>0</v>
      </c>
    </row>
    <row r="472" spans="1:38" x14ac:dyDescent="0.3">
      <c r="A472">
        <v>305568</v>
      </c>
      <c r="B472" t="s">
        <v>76</v>
      </c>
      <c r="C472" t="s">
        <v>368</v>
      </c>
      <c r="D472">
        <v>2018</v>
      </c>
      <c r="E472" t="s">
        <v>323</v>
      </c>
      <c r="F472" t="s">
        <v>324</v>
      </c>
      <c r="M472">
        <v>30</v>
      </c>
      <c r="N472">
        <v>188</v>
      </c>
      <c r="O472">
        <v>1</v>
      </c>
      <c r="P472">
        <v>7</v>
      </c>
      <c r="Q472">
        <v>1</v>
      </c>
      <c r="R472">
        <v>35</v>
      </c>
    </row>
    <row r="473" spans="1:38" x14ac:dyDescent="0.3">
      <c r="A473">
        <v>305568</v>
      </c>
      <c r="B473" t="s">
        <v>76</v>
      </c>
      <c r="C473" t="s">
        <v>368</v>
      </c>
      <c r="D473">
        <v>2019</v>
      </c>
      <c r="E473" t="s">
        <v>323</v>
      </c>
      <c r="F473" t="s">
        <v>324</v>
      </c>
      <c r="M473">
        <v>13</v>
      </c>
      <c r="N473">
        <v>63</v>
      </c>
      <c r="O473">
        <v>0</v>
      </c>
      <c r="P473">
        <v>4</v>
      </c>
      <c r="Q473">
        <v>0</v>
      </c>
      <c r="R473">
        <v>29</v>
      </c>
      <c r="AK473">
        <v>1</v>
      </c>
      <c r="AL473">
        <v>1</v>
      </c>
    </row>
    <row r="474" spans="1:38" x14ac:dyDescent="0.3">
      <c r="A474">
        <v>305568</v>
      </c>
      <c r="B474" t="s">
        <v>76</v>
      </c>
      <c r="C474" t="s">
        <v>368</v>
      </c>
      <c r="D474">
        <v>2020</v>
      </c>
      <c r="E474" t="s">
        <v>323</v>
      </c>
      <c r="F474" t="s">
        <v>324</v>
      </c>
      <c r="M474">
        <v>2</v>
      </c>
      <c r="N474">
        <v>3</v>
      </c>
      <c r="O474">
        <v>0</v>
      </c>
      <c r="P474">
        <v>3</v>
      </c>
      <c r="Q474">
        <v>0</v>
      </c>
      <c r="R474">
        <v>40</v>
      </c>
    </row>
    <row r="475" spans="1:38" x14ac:dyDescent="0.3">
      <c r="A475">
        <v>305568</v>
      </c>
      <c r="B475" t="s">
        <v>76</v>
      </c>
      <c r="C475" t="s">
        <v>368</v>
      </c>
      <c r="D475">
        <v>2021</v>
      </c>
      <c r="E475" t="s">
        <v>323</v>
      </c>
      <c r="F475" t="s">
        <v>324</v>
      </c>
      <c r="M475">
        <v>8</v>
      </c>
      <c r="N475">
        <v>93</v>
      </c>
      <c r="O475">
        <v>1</v>
      </c>
      <c r="P475">
        <v>17</v>
      </c>
      <c r="Q475">
        <v>4</v>
      </c>
      <c r="R475">
        <v>255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Z475">
        <v>1</v>
      </c>
      <c r="AA475">
        <v>27.8</v>
      </c>
      <c r="AB475">
        <v>100</v>
      </c>
      <c r="AC475">
        <v>22</v>
      </c>
      <c r="AD475">
        <v>1</v>
      </c>
      <c r="AE475">
        <v>612</v>
      </c>
      <c r="AK475">
        <v>2</v>
      </c>
      <c r="AL475">
        <v>1</v>
      </c>
    </row>
    <row r="476" spans="1:38" x14ac:dyDescent="0.3">
      <c r="A476">
        <v>305568</v>
      </c>
      <c r="B476" t="s">
        <v>76</v>
      </c>
      <c r="C476" t="s">
        <v>368</v>
      </c>
      <c r="D476">
        <v>2022</v>
      </c>
      <c r="E476" t="s">
        <v>323</v>
      </c>
      <c r="F476" t="s">
        <v>324</v>
      </c>
      <c r="M476">
        <v>15</v>
      </c>
      <c r="N476">
        <v>203</v>
      </c>
      <c r="O476">
        <v>2</v>
      </c>
      <c r="P476">
        <v>49</v>
      </c>
      <c r="Q476">
        <v>2</v>
      </c>
      <c r="R476">
        <v>403</v>
      </c>
      <c r="AA476">
        <v>24.6</v>
      </c>
      <c r="AB476">
        <v>43</v>
      </c>
      <c r="AC476">
        <v>18</v>
      </c>
      <c r="AD476">
        <v>0</v>
      </c>
      <c r="AE476">
        <v>443</v>
      </c>
      <c r="AK476">
        <v>1</v>
      </c>
      <c r="AL476">
        <v>0</v>
      </c>
    </row>
    <row r="477" spans="1:38" x14ac:dyDescent="0.3">
      <c r="A477">
        <v>305676</v>
      </c>
      <c r="B477" t="s">
        <v>100</v>
      </c>
      <c r="C477" t="s">
        <v>369</v>
      </c>
      <c r="D477">
        <v>2018</v>
      </c>
      <c r="E477" t="s">
        <v>323</v>
      </c>
      <c r="F477" t="s">
        <v>324</v>
      </c>
      <c r="S477">
        <v>0</v>
      </c>
      <c r="T477">
        <v>0</v>
      </c>
      <c r="U477">
        <v>0</v>
      </c>
      <c r="V477">
        <v>5</v>
      </c>
      <c r="W477">
        <v>16</v>
      </c>
      <c r="X477">
        <v>1.5</v>
      </c>
      <c r="Z477">
        <v>0</v>
      </c>
    </row>
    <row r="478" spans="1:38" x14ac:dyDescent="0.3">
      <c r="A478">
        <v>305676</v>
      </c>
      <c r="B478" t="s">
        <v>100</v>
      </c>
      <c r="C478" t="s">
        <v>369</v>
      </c>
      <c r="D478">
        <v>2019</v>
      </c>
      <c r="E478" t="s">
        <v>323</v>
      </c>
      <c r="F478" t="s">
        <v>324</v>
      </c>
      <c r="S478">
        <v>0</v>
      </c>
      <c r="T478">
        <v>0</v>
      </c>
      <c r="U478">
        <v>1</v>
      </c>
      <c r="V478">
        <v>12</v>
      </c>
      <c r="W478">
        <v>28</v>
      </c>
      <c r="X478">
        <v>4</v>
      </c>
      <c r="Z478">
        <v>0</v>
      </c>
    </row>
    <row r="479" spans="1:38" x14ac:dyDescent="0.3">
      <c r="A479">
        <v>305676</v>
      </c>
      <c r="B479" t="s">
        <v>100</v>
      </c>
      <c r="C479" t="s">
        <v>369</v>
      </c>
      <c r="D479">
        <v>2021</v>
      </c>
      <c r="E479" t="s">
        <v>323</v>
      </c>
      <c r="F479" t="s">
        <v>324</v>
      </c>
      <c r="S479">
        <v>0</v>
      </c>
      <c r="T479">
        <v>1</v>
      </c>
      <c r="U479">
        <v>1</v>
      </c>
      <c r="V479">
        <v>1</v>
      </c>
      <c r="W479">
        <v>1</v>
      </c>
      <c r="X479">
        <v>1</v>
      </c>
      <c r="Z479">
        <v>0</v>
      </c>
    </row>
    <row r="480" spans="1:38" x14ac:dyDescent="0.3">
      <c r="A480">
        <v>305676</v>
      </c>
      <c r="B480" t="s">
        <v>100</v>
      </c>
      <c r="C480" t="s">
        <v>369</v>
      </c>
      <c r="D480">
        <v>2022</v>
      </c>
      <c r="E480" t="s">
        <v>323</v>
      </c>
      <c r="F480" t="s">
        <v>324</v>
      </c>
      <c r="M480">
        <v>0</v>
      </c>
      <c r="N480">
        <v>7</v>
      </c>
      <c r="O480">
        <v>0</v>
      </c>
    </row>
    <row r="481" spans="1:38" x14ac:dyDescent="0.3">
      <c r="A481">
        <v>305692</v>
      </c>
      <c r="B481" t="s">
        <v>54</v>
      </c>
      <c r="C481" t="s">
        <v>370</v>
      </c>
      <c r="D481">
        <v>2018</v>
      </c>
      <c r="E481" t="s">
        <v>323</v>
      </c>
      <c r="F481" t="s">
        <v>324</v>
      </c>
      <c r="G481">
        <v>159</v>
      </c>
      <c r="H481">
        <v>95</v>
      </c>
      <c r="I481">
        <v>1173</v>
      </c>
      <c r="J481">
        <v>0.59699999999999998</v>
      </c>
      <c r="K481">
        <v>6</v>
      </c>
      <c r="L481">
        <v>4</v>
      </c>
      <c r="M481">
        <v>45</v>
      </c>
      <c r="N481">
        <v>78</v>
      </c>
      <c r="O481">
        <v>0</v>
      </c>
      <c r="AK481">
        <v>4</v>
      </c>
      <c r="AL481">
        <v>2</v>
      </c>
    </row>
    <row r="482" spans="1:38" x14ac:dyDescent="0.3">
      <c r="A482">
        <v>305692</v>
      </c>
      <c r="B482" t="s">
        <v>54</v>
      </c>
      <c r="C482" t="s">
        <v>370</v>
      </c>
      <c r="D482">
        <v>2019</v>
      </c>
      <c r="E482" t="s">
        <v>323</v>
      </c>
      <c r="F482" t="s">
        <v>324</v>
      </c>
      <c r="G482">
        <v>362</v>
      </c>
      <c r="H482">
        <v>216</v>
      </c>
      <c r="I482">
        <v>2701</v>
      </c>
      <c r="J482">
        <v>0.59699999999999998</v>
      </c>
      <c r="K482">
        <v>21</v>
      </c>
      <c r="L482">
        <v>12</v>
      </c>
      <c r="M482">
        <v>118</v>
      </c>
      <c r="N482">
        <v>198</v>
      </c>
      <c r="O482">
        <v>4</v>
      </c>
      <c r="S482">
        <v>0</v>
      </c>
      <c r="T482">
        <v>0</v>
      </c>
      <c r="U482">
        <v>0</v>
      </c>
      <c r="V482">
        <v>4</v>
      </c>
      <c r="W482">
        <v>4</v>
      </c>
      <c r="X482">
        <v>0</v>
      </c>
      <c r="Z482">
        <v>0</v>
      </c>
      <c r="AK482">
        <v>11</v>
      </c>
      <c r="AL482">
        <v>7</v>
      </c>
    </row>
    <row r="483" spans="1:38" x14ac:dyDescent="0.3">
      <c r="A483">
        <v>305692</v>
      </c>
      <c r="B483" t="s">
        <v>54</v>
      </c>
      <c r="C483" t="s">
        <v>370</v>
      </c>
      <c r="D483">
        <v>2020</v>
      </c>
      <c r="E483" t="s">
        <v>323</v>
      </c>
      <c r="F483" t="s">
        <v>324</v>
      </c>
      <c r="G483">
        <v>138</v>
      </c>
      <c r="H483">
        <v>90</v>
      </c>
      <c r="I483">
        <v>1120</v>
      </c>
      <c r="J483">
        <v>0.65200000000000002</v>
      </c>
      <c r="K483">
        <v>12</v>
      </c>
      <c r="L483">
        <v>4</v>
      </c>
      <c r="M483">
        <v>55</v>
      </c>
      <c r="N483">
        <v>306</v>
      </c>
      <c r="O483">
        <v>3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0</v>
      </c>
      <c r="Z483">
        <v>0</v>
      </c>
      <c r="AK483">
        <v>2</v>
      </c>
      <c r="AL483">
        <v>1</v>
      </c>
    </row>
    <row r="484" spans="1:38" x14ac:dyDescent="0.3">
      <c r="A484">
        <v>305692</v>
      </c>
      <c r="B484" t="s">
        <v>54</v>
      </c>
      <c r="C484" t="s">
        <v>370</v>
      </c>
      <c r="D484">
        <v>2021</v>
      </c>
      <c r="E484" t="s">
        <v>323</v>
      </c>
      <c r="F484" t="s">
        <v>324</v>
      </c>
      <c r="G484">
        <v>283</v>
      </c>
      <c r="H484">
        <v>176</v>
      </c>
      <c r="I484">
        <v>2409</v>
      </c>
      <c r="J484">
        <v>0.622</v>
      </c>
      <c r="K484">
        <v>21</v>
      </c>
      <c r="L484">
        <v>6</v>
      </c>
      <c r="M484">
        <v>130</v>
      </c>
      <c r="N484">
        <v>609</v>
      </c>
      <c r="O484">
        <v>9</v>
      </c>
      <c r="AK484">
        <v>3</v>
      </c>
      <c r="AL484">
        <v>1</v>
      </c>
    </row>
    <row r="485" spans="1:38" x14ac:dyDescent="0.3">
      <c r="A485">
        <v>305692</v>
      </c>
      <c r="B485" t="s">
        <v>54</v>
      </c>
      <c r="C485" t="s">
        <v>370</v>
      </c>
      <c r="D485">
        <v>2022</v>
      </c>
      <c r="E485" t="s">
        <v>323</v>
      </c>
      <c r="F485" t="s">
        <v>324</v>
      </c>
      <c r="G485">
        <v>381</v>
      </c>
      <c r="H485">
        <v>265</v>
      </c>
      <c r="I485">
        <v>3153</v>
      </c>
      <c r="J485">
        <v>0.69599999999999995</v>
      </c>
      <c r="K485">
        <v>27</v>
      </c>
      <c r="L485">
        <v>10</v>
      </c>
      <c r="M485">
        <v>117</v>
      </c>
      <c r="N485">
        <v>647</v>
      </c>
      <c r="O485">
        <v>12</v>
      </c>
      <c r="AK485">
        <v>7</v>
      </c>
      <c r="AL485">
        <v>3</v>
      </c>
    </row>
    <row r="486" spans="1:38" x14ac:dyDescent="0.3">
      <c r="A486">
        <v>305693</v>
      </c>
      <c r="B486" t="s">
        <v>38</v>
      </c>
      <c r="C486" t="s">
        <v>371</v>
      </c>
      <c r="D486">
        <v>2018</v>
      </c>
      <c r="E486" t="s">
        <v>249</v>
      </c>
      <c r="F486" t="s">
        <v>250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Z486">
        <v>0</v>
      </c>
    </row>
    <row r="487" spans="1:38" x14ac:dyDescent="0.3">
      <c r="A487">
        <v>305693</v>
      </c>
      <c r="B487" t="s">
        <v>38</v>
      </c>
      <c r="C487" t="s">
        <v>371</v>
      </c>
      <c r="D487">
        <v>2019</v>
      </c>
      <c r="E487" t="s">
        <v>249</v>
      </c>
      <c r="F487" t="s">
        <v>250</v>
      </c>
      <c r="S487">
        <v>1</v>
      </c>
      <c r="T487">
        <v>0</v>
      </c>
      <c r="U487">
        <v>0</v>
      </c>
      <c r="V487">
        <v>1</v>
      </c>
      <c r="W487">
        <v>4</v>
      </c>
      <c r="X487">
        <v>1</v>
      </c>
      <c r="Z487">
        <v>0</v>
      </c>
      <c r="AK487">
        <v>0</v>
      </c>
      <c r="AL487">
        <v>0</v>
      </c>
    </row>
    <row r="488" spans="1:38" x14ac:dyDescent="0.3">
      <c r="A488">
        <v>305693</v>
      </c>
      <c r="B488" t="s">
        <v>38</v>
      </c>
      <c r="C488" t="s">
        <v>371</v>
      </c>
      <c r="D488">
        <v>2020</v>
      </c>
      <c r="E488" t="s">
        <v>249</v>
      </c>
      <c r="F488" t="s">
        <v>250</v>
      </c>
      <c r="S488">
        <v>0</v>
      </c>
      <c r="T488">
        <v>0</v>
      </c>
      <c r="U488">
        <v>0.5</v>
      </c>
      <c r="V488">
        <v>1</v>
      </c>
      <c r="W488">
        <v>5</v>
      </c>
      <c r="X488">
        <v>0.5</v>
      </c>
      <c r="Z488">
        <v>0</v>
      </c>
    </row>
    <row r="489" spans="1:38" x14ac:dyDescent="0.3">
      <c r="A489">
        <v>305693</v>
      </c>
      <c r="B489" t="s">
        <v>38</v>
      </c>
      <c r="C489" t="s">
        <v>371</v>
      </c>
      <c r="D489">
        <v>2021</v>
      </c>
      <c r="E489" t="s">
        <v>249</v>
      </c>
      <c r="F489" t="s">
        <v>250</v>
      </c>
      <c r="S489">
        <v>0</v>
      </c>
      <c r="T489">
        <v>0</v>
      </c>
      <c r="U489">
        <v>1</v>
      </c>
      <c r="V489">
        <v>5</v>
      </c>
      <c r="W489">
        <v>12</v>
      </c>
      <c r="X489">
        <v>4</v>
      </c>
      <c r="Z489">
        <v>0</v>
      </c>
      <c r="AK489">
        <v>0</v>
      </c>
      <c r="AL489">
        <v>0</v>
      </c>
    </row>
    <row r="490" spans="1:38" x14ac:dyDescent="0.3">
      <c r="A490">
        <v>305693</v>
      </c>
      <c r="B490" t="s">
        <v>38</v>
      </c>
      <c r="C490" t="s">
        <v>371</v>
      </c>
      <c r="D490">
        <v>2022</v>
      </c>
      <c r="E490" t="s">
        <v>249</v>
      </c>
      <c r="F490" t="s">
        <v>250</v>
      </c>
      <c r="S490">
        <v>0</v>
      </c>
      <c r="T490">
        <v>0</v>
      </c>
      <c r="U490">
        <v>1.5</v>
      </c>
      <c r="V490">
        <v>5</v>
      </c>
      <c r="W490">
        <v>12</v>
      </c>
      <c r="X490">
        <v>2.5</v>
      </c>
      <c r="Z490">
        <v>0</v>
      </c>
    </row>
    <row r="491" spans="1:38" x14ac:dyDescent="0.3">
      <c r="A491">
        <v>305695</v>
      </c>
      <c r="B491" t="s">
        <v>50</v>
      </c>
      <c r="C491" t="s">
        <v>372</v>
      </c>
      <c r="D491">
        <v>2018</v>
      </c>
      <c r="E491" t="s">
        <v>373</v>
      </c>
      <c r="F491" t="s">
        <v>374</v>
      </c>
      <c r="S491">
        <v>2</v>
      </c>
      <c r="T491">
        <v>0</v>
      </c>
      <c r="U491">
        <v>0</v>
      </c>
      <c r="V491">
        <v>3</v>
      </c>
      <c r="W491">
        <v>3</v>
      </c>
      <c r="X491">
        <v>0</v>
      </c>
      <c r="Y491">
        <v>2</v>
      </c>
      <c r="Z491">
        <v>1</v>
      </c>
      <c r="AK491">
        <v>0</v>
      </c>
      <c r="AL491">
        <v>0</v>
      </c>
    </row>
    <row r="492" spans="1:38" x14ac:dyDescent="0.3">
      <c r="A492">
        <v>305695</v>
      </c>
      <c r="B492" t="s">
        <v>50</v>
      </c>
      <c r="C492" t="s">
        <v>372</v>
      </c>
      <c r="D492">
        <v>2019</v>
      </c>
      <c r="E492" t="s">
        <v>373</v>
      </c>
      <c r="F492" t="s">
        <v>374</v>
      </c>
      <c r="S492">
        <v>5</v>
      </c>
      <c r="T492">
        <v>0</v>
      </c>
      <c r="U492">
        <v>0</v>
      </c>
      <c r="V492">
        <v>13</v>
      </c>
      <c r="W492">
        <v>16</v>
      </c>
      <c r="X492">
        <v>0</v>
      </c>
      <c r="Z492">
        <v>0</v>
      </c>
    </row>
    <row r="493" spans="1:38" x14ac:dyDescent="0.3">
      <c r="A493">
        <v>305695</v>
      </c>
      <c r="B493" t="s">
        <v>50</v>
      </c>
      <c r="C493" t="s">
        <v>372</v>
      </c>
      <c r="D493">
        <v>2020</v>
      </c>
      <c r="E493" t="s">
        <v>373</v>
      </c>
      <c r="F493" t="s">
        <v>374</v>
      </c>
      <c r="S493">
        <v>3</v>
      </c>
      <c r="T493">
        <v>0</v>
      </c>
      <c r="U493">
        <v>0</v>
      </c>
      <c r="V493">
        <v>12</v>
      </c>
      <c r="W493">
        <v>20</v>
      </c>
      <c r="X493">
        <v>2</v>
      </c>
      <c r="Y493">
        <v>2</v>
      </c>
      <c r="Z493">
        <v>0</v>
      </c>
    </row>
    <row r="494" spans="1:38" x14ac:dyDescent="0.3">
      <c r="A494">
        <v>305695</v>
      </c>
      <c r="B494" t="s">
        <v>50</v>
      </c>
      <c r="C494" t="s">
        <v>372</v>
      </c>
      <c r="D494">
        <v>2021</v>
      </c>
      <c r="E494" t="s">
        <v>373</v>
      </c>
      <c r="F494" t="s">
        <v>374</v>
      </c>
      <c r="S494">
        <v>6</v>
      </c>
      <c r="T494">
        <v>1</v>
      </c>
      <c r="U494">
        <v>1</v>
      </c>
      <c r="V494">
        <v>27</v>
      </c>
      <c r="W494">
        <v>40</v>
      </c>
      <c r="X494">
        <v>3</v>
      </c>
      <c r="Y494">
        <v>3</v>
      </c>
      <c r="Z494">
        <v>0</v>
      </c>
    </row>
    <row r="495" spans="1:38" x14ac:dyDescent="0.3">
      <c r="A495">
        <v>305695</v>
      </c>
      <c r="B495" t="s">
        <v>50</v>
      </c>
      <c r="C495" t="s">
        <v>372</v>
      </c>
      <c r="D495">
        <v>2022</v>
      </c>
      <c r="E495" t="s">
        <v>373</v>
      </c>
      <c r="F495" t="s">
        <v>374</v>
      </c>
      <c r="S495">
        <v>5</v>
      </c>
      <c r="T495">
        <v>0</v>
      </c>
      <c r="U495">
        <v>0</v>
      </c>
      <c r="V495">
        <v>27</v>
      </c>
      <c r="W495">
        <v>34</v>
      </c>
      <c r="X495">
        <v>0</v>
      </c>
      <c r="Y495">
        <v>2</v>
      </c>
      <c r="Z495">
        <v>0</v>
      </c>
    </row>
    <row r="496" spans="1:38" x14ac:dyDescent="0.3">
      <c r="A496">
        <v>305707</v>
      </c>
      <c r="B496" t="s">
        <v>84</v>
      </c>
      <c r="C496" t="s">
        <v>375</v>
      </c>
      <c r="D496">
        <v>2018</v>
      </c>
      <c r="E496" t="s">
        <v>249</v>
      </c>
      <c r="F496" t="s">
        <v>250</v>
      </c>
      <c r="S496">
        <v>0</v>
      </c>
      <c r="T496">
        <v>0</v>
      </c>
      <c r="U496">
        <v>0</v>
      </c>
      <c r="V496">
        <v>2</v>
      </c>
      <c r="W496">
        <v>6</v>
      </c>
      <c r="X496">
        <v>0</v>
      </c>
      <c r="Z496">
        <v>0</v>
      </c>
    </row>
    <row r="497" spans="1:38" x14ac:dyDescent="0.3">
      <c r="A497">
        <v>305707</v>
      </c>
      <c r="B497" t="s">
        <v>84</v>
      </c>
      <c r="C497" t="s">
        <v>375</v>
      </c>
      <c r="D497">
        <v>2019</v>
      </c>
      <c r="E497" t="s">
        <v>249</v>
      </c>
      <c r="F497" t="s">
        <v>250</v>
      </c>
      <c r="S497">
        <v>0</v>
      </c>
      <c r="T497">
        <v>0</v>
      </c>
      <c r="U497">
        <v>1.5</v>
      </c>
      <c r="V497">
        <v>9</v>
      </c>
      <c r="W497">
        <v>21</v>
      </c>
      <c r="X497">
        <v>3</v>
      </c>
      <c r="Z497">
        <v>0</v>
      </c>
    </row>
    <row r="498" spans="1:38" x14ac:dyDescent="0.3">
      <c r="A498">
        <v>305707</v>
      </c>
      <c r="B498" t="s">
        <v>84</v>
      </c>
      <c r="C498" t="s">
        <v>375</v>
      </c>
      <c r="D498">
        <v>2020</v>
      </c>
      <c r="E498" t="s">
        <v>249</v>
      </c>
      <c r="F498" t="s">
        <v>250</v>
      </c>
      <c r="S498">
        <v>1</v>
      </c>
      <c r="T498">
        <v>0</v>
      </c>
      <c r="U498">
        <v>0</v>
      </c>
      <c r="V498">
        <v>10</v>
      </c>
      <c r="W498">
        <v>17</v>
      </c>
      <c r="X498">
        <v>0.5</v>
      </c>
      <c r="Z498">
        <v>0</v>
      </c>
      <c r="AK498">
        <v>0</v>
      </c>
      <c r="AL498">
        <v>0</v>
      </c>
    </row>
    <row r="499" spans="1:38" x14ac:dyDescent="0.3">
      <c r="A499">
        <v>305707</v>
      </c>
      <c r="B499" t="s">
        <v>84</v>
      </c>
      <c r="C499" t="s">
        <v>375</v>
      </c>
      <c r="D499">
        <v>2021</v>
      </c>
      <c r="E499" t="s">
        <v>249</v>
      </c>
      <c r="F499" t="s">
        <v>250</v>
      </c>
      <c r="S499">
        <v>0</v>
      </c>
      <c r="T499">
        <v>0</v>
      </c>
      <c r="U499">
        <v>0</v>
      </c>
      <c r="V499">
        <v>4</v>
      </c>
      <c r="W499">
        <v>10</v>
      </c>
      <c r="X499">
        <v>0</v>
      </c>
      <c r="Z499">
        <v>0</v>
      </c>
    </row>
    <row r="500" spans="1:38" x14ac:dyDescent="0.3">
      <c r="A500">
        <v>305707</v>
      </c>
      <c r="B500" t="s">
        <v>84</v>
      </c>
      <c r="C500" t="s">
        <v>375</v>
      </c>
      <c r="D500">
        <v>2022</v>
      </c>
      <c r="E500" t="s">
        <v>339</v>
      </c>
      <c r="F500" t="s">
        <v>340</v>
      </c>
      <c r="S500">
        <v>5</v>
      </c>
      <c r="T500">
        <v>1</v>
      </c>
      <c r="U500">
        <v>0</v>
      </c>
      <c r="V500">
        <v>44</v>
      </c>
      <c r="W500">
        <v>102</v>
      </c>
      <c r="X500">
        <v>5</v>
      </c>
      <c r="Z500">
        <v>0</v>
      </c>
    </row>
    <row r="501" spans="1:38" x14ac:dyDescent="0.3">
      <c r="A501">
        <v>305707</v>
      </c>
      <c r="B501" t="s">
        <v>84</v>
      </c>
      <c r="C501" t="s">
        <v>375</v>
      </c>
      <c r="D501">
        <v>2023</v>
      </c>
      <c r="E501" t="s">
        <v>339</v>
      </c>
      <c r="F501" t="s">
        <v>340</v>
      </c>
      <c r="S501">
        <v>2</v>
      </c>
      <c r="T501">
        <v>0</v>
      </c>
      <c r="U501">
        <v>1</v>
      </c>
      <c r="V501">
        <v>49</v>
      </c>
      <c r="W501">
        <v>114</v>
      </c>
      <c r="X501">
        <v>8</v>
      </c>
      <c r="Y501">
        <v>1</v>
      </c>
      <c r="Z501">
        <v>0</v>
      </c>
    </row>
    <row r="502" spans="1:38" x14ac:dyDescent="0.3">
      <c r="A502">
        <v>305728</v>
      </c>
      <c r="B502" t="s">
        <v>69</v>
      </c>
      <c r="C502" t="s">
        <v>376</v>
      </c>
      <c r="D502">
        <v>2018</v>
      </c>
      <c r="E502" t="s">
        <v>61</v>
      </c>
      <c r="F502" t="s">
        <v>62</v>
      </c>
      <c r="S502">
        <v>0</v>
      </c>
      <c r="T502">
        <v>0</v>
      </c>
      <c r="U502">
        <v>2</v>
      </c>
      <c r="V502">
        <v>6</v>
      </c>
      <c r="W502">
        <v>8</v>
      </c>
      <c r="X502">
        <v>3</v>
      </c>
      <c r="Z502">
        <v>0</v>
      </c>
    </row>
    <row r="503" spans="1:38" x14ac:dyDescent="0.3">
      <c r="A503">
        <v>305728</v>
      </c>
      <c r="B503" t="s">
        <v>69</v>
      </c>
      <c r="C503" t="s">
        <v>376</v>
      </c>
      <c r="D503">
        <v>2020</v>
      </c>
      <c r="E503" t="s">
        <v>377</v>
      </c>
      <c r="F503" t="s">
        <v>378</v>
      </c>
      <c r="S503">
        <v>0</v>
      </c>
      <c r="T503">
        <v>4</v>
      </c>
      <c r="U503">
        <v>4</v>
      </c>
      <c r="V503">
        <v>15</v>
      </c>
      <c r="W503">
        <v>30</v>
      </c>
      <c r="X503">
        <v>6</v>
      </c>
      <c r="Z503">
        <v>0</v>
      </c>
    </row>
    <row r="504" spans="1:38" x14ac:dyDescent="0.3">
      <c r="A504">
        <v>305728</v>
      </c>
      <c r="B504" t="s">
        <v>69</v>
      </c>
      <c r="C504" t="s">
        <v>376</v>
      </c>
      <c r="D504">
        <v>2021</v>
      </c>
      <c r="E504" t="s">
        <v>377</v>
      </c>
      <c r="F504" t="s">
        <v>378</v>
      </c>
      <c r="S504">
        <v>0</v>
      </c>
      <c r="T504">
        <v>2</v>
      </c>
      <c r="U504">
        <v>7.5</v>
      </c>
      <c r="V504">
        <v>20</v>
      </c>
      <c r="W504">
        <v>41</v>
      </c>
      <c r="X504">
        <v>9</v>
      </c>
      <c r="Y504">
        <v>2</v>
      </c>
      <c r="Z504">
        <v>0</v>
      </c>
      <c r="AK504">
        <v>0</v>
      </c>
      <c r="AL504">
        <v>0</v>
      </c>
    </row>
    <row r="505" spans="1:38" x14ac:dyDescent="0.3">
      <c r="A505">
        <v>305728</v>
      </c>
      <c r="B505" t="s">
        <v>69</v>
      </c>
      <c r="C505" t="s">
        <v>376</v>
      </c>
      <c r="D505">
        <v>2022</v>
      </c>
      <c r="E505" t="s">
        <v>377</v>
      </c>
      <c r="F505" t="s">
        <v>378</v>
      </c>
      <c r="S505">
        <v>1</v>
      </c>
      <c r="T505">
        <v>4</v>
      </c>
      <c r="U505">
        <v>6.5</v>
      </c>
      <c r="V505">
        <v>16</v>
      </c>
      <c r="W505">
        <v>36</v>
      </c>
      <c r="X505">
        <v>11</v>
      </c>
      <c r="Y505">
        <v>1</v>
      </c>
      <c r="Z505">
        <v>0</v>
      </c>
      <c r="AK505">
        <v>0</v>
      </c>
      <c r="AL505">
        <v>0</v>
      </c>
    </row>
    <row r="506" spans="1:38" x14ac:dyDescent="0.3">
      <c r="A506">
        <v>305728</v>
      </c>
      <c r="B506" t="s">
        <v>69</v>
      </c>
      <c r="C506" t="s">
        <v>376</v>
      </c>
      <c r="D506">
        <v>2023</v>
      </c>
      <c r="E506" t="s">
        <v>377</v>
      </c>
      <c r="F506" t="s">
        <v>378</v>
      </c>
      <c r="S506">
        <v>0</v>
      </c>
      <c r="T506">
        <v>4</v>
      </c>
      <c r="U506">
        <v>10.5</v>
      </c>
      <c r="V506">
        <v>34</v>
      </c>
      <c r="W506">
        <v>59</v>
      </c>
      <c r="X506">
        <v>18.5</v>
      </c>
      <c r="Z506">
        <v>0</v>
      </c>
    </row>
    <row r="507" spans="1:38" x14ac:dyDescent="0.3">
      <c r="A507">
        <v>305751</v>
      </c>
      <c r="B507" t="s">
        <v>38</v>
      </c>
      <c r="C507" t="s">
        <v>379</v>
      </c>
      <c r="D507">
        <v>2018</v>
      </c>
      <c r="E507" t="s">
        <v>249</v>
      </c>
      <c r="F507" t="s">
        <v>250</v>
      </c>
      <c r="S507">
        <v>0</v>
      </c>
      <c r="T507">
        <v>0</v>
      </c>
      <c r="U507">
        <v>1</v>
      </c>
      <c r="V507">
        <v>2</v>
      </c>
      <c r="W507">
        <v>3</v>
      </c>
      <c r="X507">
        <v>1</v>
      </c>
      <c r="Z507">
        <v>0</v>
      </c>
    </row>
    <row r="508" spans="1:38" x14ac:dyDescent="0.3">
      <c r="A508">
        <v>305751</v>
      </c>
      <c r="B508" t="s">
        <v>38</v>
      </c>
      <c r="C508" t="s">
        <v>379</v>
      </c>
      <c r="D508">
        <v>2020</v>
      </c>
      <c r="E508" t="s">
        <v>249</v>
      </c>
      <c r="F508" t="s">
        <v>250</v>
      </c>
      <c r="S508">
        <v>0</v>
      </c>
      <c r="T508">
        <v>0</v>
      </c>
      <c r="U508">
        <v>0.5</v>
      </c>
      <c r="V508">
        <v>1</v>
      </c>
      <c r="W508">
        <v>9</v>
      </c>
      <c r="X508">
        <v>2</v>
      </c>
      <c r="Z508">
        <v>0</v>
      </c>
    </row>
    <row r="509" spans="1:38" x14ac:dyDescent="0.3">
      <c r="A509">
        <v>305751</v>
      </c>
      <c r="B509" t="s">
        <v>38</v>
      </c>
      <c r="C509" t="s">
        <v>379</v>
      </c>
      <c r="D509">
        <v>2021</v>
      </c>
      <c r="E509" t="s">
        <v>249</v>
      </c>
      <c r="F509" t="s">
        <v>250</v>
      </c>
      <c r="S509">
        <v>0</v>
      </c>
      <c r="T509">
        <v>2</v>
      </c>
      <c r="U509">
        <v>0.5</v>
      </c>
      <c r="V509">
        <v>12</v>
      </c>
      <c r="W509">
        <v>23</v>
      </c>
      <c r="X509">
        <v>3.5</v>
      </c>
      <c r="Z509">
        <v>0</v>
      </c>
    </row>
    <row r="510" spans="1:38" x14ac:dyDescent="0.3">
      <c r="A510">
        <v>305751</v>
      </c>
      <c r="B510" t="s">
        <v>38</v>
      </c>
      <c r="C510" t="s">
        <v>379</v>
      </c>
      <c r="D510">
        <v>2022</v>
      </c>
      <c r="E510" t="s">
        <v>249</v>
      </c>
      <c r="F510" t="s">
        <v>250</v>
      </c>
      <c r="S510">
        <v>0</v>
      </c>
      <c r="T510">
        <v>2</v>
      </c>
      <c r="U510">
        <v>0.5</v>
      </c>
      <c r="V510">
        <v>8</v>
      </c>
      <c r="W510">
        <v>24</v>
      </c>
      <c r="X510">
        <v>2.5</v>
      </c>
      <c r="Z510">
        <v>0</v>
      </c>
      <c r="AK510">
        <v>0</v>
      </c>
      <c r="AL510">
        <v>0</v>
      </c>
    </row>
    <row r="511" spans="1:38" x14ac:dyDescent="0.3">
      <c r="A511">
        <v>305761</v>
      </c>
      <c r="B511" t="s">
        <v>380</v>
      </c>
      <c r="C511" t="s">
        <v>381</v>
      </c>
      <c r="D511">
        <v>2018</v>
      </c>
      <c r="E511" t="s">
        <v>382</v>
      </c>
      <c r="F511" t="s">
        <v>383</v>
      </c>
      <c r="G511">
        <v>46</v>
      </c>
      <c r="H511">
        <v>22</v>
      </c>
      <c r="I511">
        <v>194</v>
      </c>
      <c r="J511">
        <v>0.47799999999999998</v>
      </c>
      <c r="K511">
        <v>0</v>
      </c>
      <c r="L511">
        <v>3</v>
      </c>
      <c r="M511">
        <v>30</v>
      </c>
      <c r="N511">
        <v>20</v>
      </c>
      <c r="O511">
        <v>5</v>
      </c>
      <c r="P511">
        <v>0</v>
      </c>
      <c r="Q511">
        <v>0</v>
      </c>
      <c r="R511">
        <v>-10</v>
      </c>
      <c r="AK511">
        <v>2</v>
      </c>
      <c r="AL511">
        <v>0</v>
      </c>
    </row>
    <row r="512" spans="1:38" x14ac:dyDescent="0.3">
      <c r="A512">
        <v>305761</v>
      </c>
      <c r="B512" t="s">
        <v>380</v>
      </c>
      <c r="C512" t="s">
        <v>381</v>
      </c>
      <c r="D512">
        <v>2019</v>
      </c>
      <c r="E512" t="s">
        <v>382</v>
      </c>
      <c r="F512" t="s">
        <v>383</v>
      </c>
      <c r="M512">
        <v>6</v>
      </c>
      <c r="N512">
        <v>10</v>
      </c>
      <c r="O512">
        <v>1</v>
      </c>
      <c r="S512">
        <v>1</v>
      </c>
      <c r="T512">
        <v>0</v>
      </c>
      <c r="U512">
        <v>0</v>
      </c>
      <c r="V512">
        <v>2</v>
      </c>
      <c r="W512">
        <v>3</v>
      </c>
      <c r="X512">
        <v>0</v>
      </c>
      <c r="Z512">
        <v>0</v>
      </c>
      <c r="AA512">
        <v>0</v>
      </c>
      <c r="AB512">
        <v>0</v>
      </c>
      <c r="AC512">
        <v>2</v>
      </c>
      <c r="AD512">
        <v>0</v>
      </c>
      <c r="AE512">
        <v>0</v>
      </c>
    </row>
    <row r="513" spans="1:38" x14ac:dyDescent="0.3">
      <c r="A513">
        <v>305761</v>
      </c>
      <c r="B513" t="s">
        <v>380</v>
      </c>
      <c r="C513" t="s">
        <v>381</v>
      </c>
      <c r="D513">
        <v>2020</v>
      </c>
      <c r="E513" t="s">
        <v>382</v>
      </c>
      <c r="F513" t="s">
        <v>383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15</v>
      </c>
      <c r="N513">
        <v>128</v>
      </c>
      <c r="O513">
        <v>2</v>
      </c>
      <c r="S513">
        <v>0</v>
      </c>
      <c r="T513">
        <v>0</v>
      </c>
      <c r="U513">
        <v>0</v>
      </c>
      <c r="V513">
        <v>5</v>
      </c>
      <c r="W513">
        <v>13</v>
      </c>
      <c r="X513">
        <v>0.5</v>
      </c>
      <c r="Z513">
        <v>0</v>
      </c>
      <c r="AA513">
        <v>13</v>
      </c>
      <c r="AB513">
        <v>13</v>
      </c>
      <c r="AC513">
        <v>1</v>
      </c>
      <c r="AD513">
        <v>0</v>
      </c>
      <c r="AE513">
        <v>13</v>
      </c>
    </row>
    <row r="514" spans="1:38" x14ac:dyDescent="0.3">
      <c r="A514">
        <v>305761</v>
      </c>
      <c r="B514" t="s">
        <v>380</v>
      </c>
      <c r="C514" t="s">
        <v>381</v>
      </c>
      <c r="D514">
        <v>2021</v>
      </c>
      <c r="E514" t="s">
        <v>382</v>
      </c>
      <c r="F514" t="s">
        <v>383</v>
      </c>
      <c r="M514">
        <v>31</v>
      </c>
      <c r="N514">
        <v>144</v>
      </c>
      <c r="O514">
        <v>8</v>
      </c>
      <c r="P514">
        <v>1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6</v>
      </c>
      <c r="W514">
        <v>7</v>
      </c>
      <c r="X514">
        <v>1</v>
      </c>
      <c r="Y514">
        <v>1</v>
      </c>
      <c r="Z514">
        <v>0</v>
      </c>
      <c r="AA514">
        <v>3.7</v>
      </c>
      <c r="AB514">
        <v>11</v>
      </c>
      <c r="AC514">
        <v>3</v>
      </c>
      <c r="AD514">
        <v>0</v>
      </c>
      <c r="AE514">
        <v>11</v>
      </c>
    </row>
    <row r="515" spans="1:38" x14ac:dyDescent="0.3">
      <c r="A515">
        <v>305761</v>
      </c>
      <c r="B515" t="s">
        <v>380</v>
      </c>
      <c r="C515" t="s">
        <v>381</v>
      </c>
      <c r="D515">
        <v>2022</v>
      </c>
      <c r="E515" t="s">
        <v>382</v>
      </c>
      <c r="F515" t="s">
        <v>383</v>
      </c>
      <c r="G515">
        <v>2</v>
      </c>
      <c r="H515">
        <v>2</v>
      </c>
      <c r="I515">
        <v>53</v>
      </c>
      <c r="J515">
        <v>1</v>
      </c>
      <c r="K515">
        <v>0</v>
      </c>
      <c r="L515">
        <v>0</v>
      </c>
      <c r="M515">
        <v>27</v>
      </c>
      <c r="N515">
        <v>103</v>
      </c>
      <c r="O515">
        <v>6</v>
      </c>
      <c r="P515">
        <v>3</v>
      </c>
      <c r="Q515">
        <v>0</v>
      </c>
      <c r="R515">
        <v>46</v>
      </c>
      <c r="S515">
        <v>0</v>
      </c>
      <c r="T515">
        <v>0</v>
      </c>
      <c r="U515">
        <v>0</v>
      </c>
      <c r="V515">
        <v>18</v>
      </c>
      <c r="W515">
        <v>23</v>
      </c>
      <c r="X515">
        <v>0</v>
      </c>
      <c r="Z515">
        <v>0</v>
      </c>
      <c r="AA515">
        <v>-2</v>
      </c>
      <c r="AB515">
        <v>-2</v>
      </c>
      <c r="AC515">
        <v>1</v>
      </c>
      <c r="AD515">
        <v>0</v>
      </c>
      <c r="AE515">
        <v>-2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</row>
    <row r="516" spans="1:38" x14ac:dyDescent="0.3">
      <c r="A516">
        <v>305829</v>
      </c>
      <c r="B516" t="s">
        <v>42</v>
      </c>
      <c r="C516" t="s">
        <v>384</v>
      </c>
      <c r="D516">
        <v>2018</v>
      </c>
      <c r="E516" t="s">
        <v>259</v>
      </c>
      <c r="F516" t="s">
        <v>260</v>
      </c>
      <c r="S516">
        <v>7</v>
      </c>
      <c r="T516">
        <v>3</v>
      </c>
      <c r="U516">
        <v>1</v>
      </c>
      <c r="V516">
        <v>24</v>
      </c>
      <c r="W516">
        <v>59</v>
      </c>
      <c r="X516">
        <v>4.5</v>
      </c>
      <c r="Z516">
        <v>0</v>
      </c>
    </row>
    <row r="517" spans="1:38" x14ac:dyDescent="0.3">
      <c r="A517">
        <v>305829</v>
      </c>
      <c r="B517" t="s">
        <v>42</v>
      </c>
      <c r="C517" t="s">
        <v>384</v>
      </c>
      <c r="D517">
        <v>2019</v>
      </c>
      <c r="E517" t="s">
        <v>259</v>
      </c>
      <c r="F517" t="s">
        <v>260</v>
      </c>
      <c r="S517">
        <v>1</v>
      </c>
      <c r="T517">
        <v>0</v>
      </c>
      <c r="U517">
        <v>0.5</v>
      </c>
      <c r="V517">
        <v>6</v>
      </c>
      <c r="W517">
        <v>19</v>
      </c>
      <c r="X517">
        <v>1</v>
      </c>
      <c r="Z517">
        <v>0</v>
      </c>
      <c r="AK517">
        <v>0</v>
      </c>
      <c r="AL517">
        <v>0</v>
      </c>
    </row>
    <row r="518" spans="1:38" x14ac:dyDescent="0.3">
      <c r="A518">
        <v>305829</v>
      </c>
      <c r="B518" t="s">
        <v>42</v>
      </c>
      <c r="C518" t="s">
        <v>384</v>
      </c>
      <c r="D518">
        <v>2020</v>
      </c>
      <c r="E518" t="s">
        <v>259</v>
      </c>
      <c r="F518" t="s">
        <v>260</v>
      </c>
      <c r="S518">
        <v>1</v>
      </c>
      <c r="T518">
        <v>2</v>
      </c>
      <c r="U518">
        <v>0</v>
      </c>
      <c r="V518">
        <v>15</v>
      </c>
      <c r="W518">
        <v>28</v>
      </c>
      <c r="X518">
        <v>1.5</v>
      </c>
      <c r="Z518">
        <v>0</v>
      </c>
    </row>
    <row r="519" spans="1:38" x14ac:dyDescent="0.3">
      <c r="A519">
        <v>305829</v>
      </c>
      <c r="B519" t="s">
        <v>42</v>
      </c>
      <c r="C519" t="s">
        <v>384</v>
      </c>
      <c r="D519">
        <v>2021</v>
      </c>
      <c r="E519" t="s">
        <v>122</v>
      </c>
      <c r="F519" t="s">
        <v>123</v>
      </c>
      <c r="S519">
        <v>2</v>
      </c>
      <c r="T519">
        <v>0</v>
      </c>
      <c r="U519">
        <v>0.5</v>
      </c>
      <c r="V519">
        <v>28</v>
      </c>
      <c r="W519">
        <v>55</v>
      </c>
      <c r="X519">
        <v>3.5</v>
      </c>
      <c r="Y519">
        <v>2</v>
      </c>
      <c r="Z519">
        <v>0</v>
      </c>
      <c r="AK519">
        <v>0</v>
      </c>
      <c r="AL519">
        <v>0</v>
      </c>
    </row>
    <row r="520" spans="1:38" x14ac:dyDescent="0.3">
      <c r="A520">
        <v>305829</v>
      </c>
      <c r="B520" t="s">
        <v>42</v>
      </c>
      <c r="C520" t="s">
        <v>384</v>
      </c>
      <c r="D520">
        <v>2022</v>
      </c>
      <c r="E520" t="s">
        <v>122</v>
      </c>
      <c r="F520" t="s">
        <v>123</v>
      </c>
      <c r="S520">
        <v>2</v>
      </c>
      <c r="T520">
        <v>1</v>
      </c>
      <c r="U520">
        <v>0</v>
      </c>
      <c r="V520">
        <v>36</v>
      </c>
      <c r="W520">
        <v>70</v>
      </c>
      <c r="X520">
        <v>2</v>
      </c>
      <c r="Z520">
        <v>0</v>
      </c>
    </row>
    <row r="521" spans="1:38" x14ac:dyDescent="0.3">
      <c r="A521">
        <v>305851</v>
      </c>
      <c r="B521" t="s">
        <v>38</v>
      </c>
      <c r="C521" t="s">
        <v>385</v>
      </c>
      <c r="D521">
        <v>2018</v>
      </c>
      <c r="E521" t="s">
        <v>98</v>
      </c>
      <c r="F521" t="s">
        <v>99</v>
      </c>
      <c r="S521">
        <v>0</v>
      </c>
      <c r="T521">
        <v>1</v>
      </c>
      <c r="U521">
        <v>3</v>
      </c>
      <c r="V521">
        <v>12</v>
      </c>
      <c r="W521">
        <v>14</v>
      </c>
      <c r="X521">
        <v>5.5</v>
      </c>
      <c r="Z521">
        <v>0</v>
      </c>
    </row>
    <row r="522" spans="1:38" x14ac:dyDescent="0.3">
      <c r="A522">
        <v>305851</v>
      </c>
      <c r="B522" t="s">
        <v>38</v>
      </c>
      <c r="C522" t="s">
        <v>385</v>
      </c>
      <c r="D522">
        <v>2019</v>
      </c>
      <c r="E522" t="s">
        <v>98</v>
      </c>
      <c r="F522" t="s">
        <v>99</v>
      </c>
      <c r="S522">
        <v>1</v>
      </c>
      <c r="T522">
        <v>2</v>
      </c>
      <c r="U522">
        <v>7</v>
      </c>
      <c r="V522">
        <v>14</v>
      </c>
      <c r="W522">
        <v>23</v>
      </c>
      <c r="X522">
        <v>11.5</v>
      </c>
      <c r="Z522">
        <v>0</v>
      </c>
    </row>
    <row r="523" spans="1:38" x14ac:dyDescent="0.3">
      <c r="A523">
        <v>305851</v>
      </c>
      <c r="B523" t="s">
        <v>38</v>
      </c>
      <c r="C523" t="s">
        <v>385</v>
      </c>
      <c r="D523">
        <v>2020</v>
      </c>
      <c r="E523" t="s">
        <v>98</v>
      </c>
      <c r="F523" t="s">
        <v>99</v>
      </c>
      <c r="S523">
        <v>2</v>
      </c>
      <c r="T523">
        <v>1</v>
      </c>
      <c r="U523">
        <v>1</v>
      </c>
      <c r="V523">
        <v>14</v>
      </c>
      <c r="W523">
        <v>32</v>
      </c>
      <c r="X523">
        <v>9.5</v>
      </c>
      <c r="Z523">
        <v>0</v>
      </c>
      <c r="AK523">
        <v>0</v>
      </c>
      <c r="AL523">
        <v>0</v>
      </c>
    </row>
    <row r="524" spans="1:38" x14ac:dyDescent="0.3">
      <c r="A524">
        <v>305851</v>
      </c>
      <c r="B524" t="s">
        <v>38</v>
      </c>
      <c r="C524" t="s">
        <v>385</v>
      </c>
      <c r="D524">
        <v>2021</v>
      </c>
      <c r="E524" t="s">
        <v>98</v>
      </c>
      <c r="F524" t="s">
        <v>99</v>
      </c>
      <c r="S524">
        <v>0</v>
      </c>
      <c r="T524">
        <v>6</v>
      </c>
      <c r="U524">
        <v>7</v>
      </c>
      <c r="V524">
        <v>29</v>
      </c>
      <c r="W524">
        <v>36</v>
      </c>
      <c r="X524">
        <v>15</v>
      </c>
      <c r="Y524">
        <v>1</v>
      </c>
      <c r="Z524">
        <v>0</v>
      </c>
    </row>
    <row r="525" spans="1:38" x14ac:dyDescent="0.3">
      <c r="A525">
        <v>305851</v>
      </c>
      <c r="B525" t="s">
        <v>38</v>
      </c>
      <c r="C525" t="s">
        <v>385</v>
      </c>
      <c r="D525">
        <v>2022</v>
      </c>
      <c r="E525" t="s">
        <v>98</v>
      </c>
      <c r="F525" t="s">
        <v>99</v>
      </c>
      <c r="S525">
        <v>1</v>
      </c>
      <c r="T525">
        <v>6</v>
      </c>
      <c r="U525">
        <v>4.5</v>
      </c>
      <c r="V525">
        <v>13</v>
      </c>
      <c r="W525">
        <v>26</v>
      </c>
      <c r="X525">
        <v>9</v>
      </c>
      <c r="Z525">
        <v>0</v>
      </c>
      <c r="AK525">
        <v>0</v>
      </c>
      <c r="AL525">
        <v>0</v>
      </c>
    </row>
    <row r="526" spans="1:38" x14ac:dyDescent="0.3">
      <c r="A526">
        <v>305856</v>
      </c>
      <c r="B526" t="s">
        <v>84</v>
      </c>
      <c r="C526" t="s">
        <v>386</v>
      </c>
      <c r="D526">
        <v>2018</v>
      </c>
      <c r="E526" t="s">
        <v>171</v>
      </c>
      <c r="F526" t="s">
        <v>172</v>
      </c>
      <c r="M526">
        <v>52</v>
      </c>
      <c r="N526">
        <v>185</v>
      </c>
      <c r="O526">
        <v>3</v>
      </c>
      <c r="P526">
        <v>1</v>
      </c>
      <c r="Q526">
        <v>0</v>
      </c>
      <c r="R526">
        <v>10</v>
      </c>
      <c r="S526">
        <v>0</v>
      </c>
      <c r="T526">
        <v>0</v>
      </c>
      <c r="U526">
        <v>0</v>
      </c>
      <c r="V526">
        <v>3</v>
      </c>
      <c r="W526">
        <v>3</v>
      </c>
      <c r="X526">
        <v>0</v>
      </c>
      <c r="Z526">
        <v>0</v>
      </c>
      <c r="AK526">
        <v>3</v>
      </c>
      <c r="AL526">
        <v>2</v>
      </c>
    </row>
    <row r="527" spans="1:38" x14ac:dyDescent="0.3">
      <c r="A527">
        <v>305856</v>
      </c>
      <c r="B527" t="s">
        <v>84</v>
      </c>
      <c r="C527" t="s">
        <v>386</v>
      </c>
      <c r="D527">
        <v>2019</v>
      </c>
      <c r="E527" t="s">
        <v>171</v>
      </c>
      <c r="F527" t="s">
        <v>172</v>
      </c>
      <c r="S527">
        <v>0</v>
      </c>
      <c r="T527">
        <v>0</v>
      </c>
      <c r="U527">
        <v>0</v>
      </c>
      <c r="V527">
        <v>1</v>
      </c>
      <c r="W527">
        <v>7</v>
      </c>
      <c r="X527">
        <v>1</v>
      </c>
      <c r="Y527">
        <v>2</v>
      </c>
      <c r="Z527">
        <v>0</v>
      </c>
    </row>
    <row r="528" spans="1:38" x14ac:dyDescent="0.3">
      <c r="A528">
        <v>305856</v>
      </c>
      <c r="B528" t="s">
        <v>84</v>
      </c>
      <c r="C528" t="s">
        <v>386</v>
      </c>
      <c r="D528">
        <v>2020</v>
      </c>
      <c r="E528" t="s">
        <v>171</v>
      </c>
      <c r="F528" t="s">
        <v>172</v>
      </c>
      <c r="S528">
        <v>0</v>
      </c>
      <c r="T528">
        <v>1</v>
      </c>
      <c r="U528">
        <v>0</v>
      </c>
      <c r="V528">
        <v>13</v>
      </c>
      <c r="W528">
        <v>28</v>
      </c>
      <c r="X528">
        <v>1</v>
      </c>
      <c r="Z528">
        <v>0</v>
      </c>
    </row>
    <row r="529" spans="1:38" x14ac:dyDescent="0.3">
      <c r="A529">
        <v>305856</v>
      </c>
      <c r="B529" t="s">
        <v>84</v>
      </c>
      <c r="C529" t="s">
        <v>386</v>
      </c>
      <c r="D529">
        <v>2021</v>
      </c>
      <c r="E529" t="s">
        <v>171</v>
      </c>
      <c r="F529" t="s">
        <v>172</v>
      </c>
      <c r="S529">
        <v>4</v>
      </c>
      <c r="T529">
        <v>3</v>
      </c>
      <c r="U529">
        <v>5.5</v>
      </c>
      <c r="V529">
        <v>59</v>
      </c>
      <c r="W529">
        <v>128</v>
      </c>
      <c r="X529">
        <v>11.5</v>
      </c>
      <c r="Y529">
        <v>1</v>
      </c>
      <c r="Z529">
        <v>0</v>
      </c>
    </row>
    <row r="530" spans="1:38" x14ac:dyDescent="0.3">
      <c r="A530">
        <v>305856</v>
      </c>
      <c r="B530" t="s">
        <v>84</v>
      </c>
      <c r="C530" t="s">
        <v>386</v>
      </c>
      <c r="D530">
        <v>2022</v>
      </c>
      <c r="E530" t="s">
        <v>171</v>
      </c>
      <c r="F530" t="s">
        <v>172</v>
      </c>
      <c r="S530">
        <v>4</v>
      </c>
      <c r="T530">
        <v>8</v>
      </c>
      <c r="U530">
        <v>0</v>
      </c>
      <c r="V530">
        <v>33</v>
      </c>
      <c r="W530">
        <v>53</v>
      </c>
      <c r="X530">
        <v>4.5</v>
      </c>
      <c r="Z530">
        <v>0</v>
      </c>
      <c r="AK530">
        <v>0</v>
      </c>
      <c r="AL530">
        <v>0</v>
      </c>
    </row>
    <row r="531" spans="1:38" x14ac:dyDescent="0.3">
      <c r="A531">
        <v>305865</v>
      </c>
      <c r="B531" t="s">
        <v>178</v>
      </c>
      <c r="C531" t="s">
        <v>387</v>
      </c>
      <c r="D531">
        <v>2022</v>
      </c>
      <c r="E531" t="s">
        <v>136</v>
      </c>
      <c r="F531" t="s">
        <v>137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Z531">
        <v>0</v>
      </c>
    </row>
    <row r="532" spans="1:38" x14ac:dyDescent="0.3">
      <c r="A532">
        <v>305898</v>
      </c>
      <c r="B532" t="s">
        <v>69</v>
      </c>
      <c r="C532" t="s">
        <v>388</v>
      </c>
      <c r="D532">
        <v>2018</v>
      </c>
      <c r="E532" t="s">
        <v>58</v>
      </c>
      <c r="F532" t="s">
        <v>59</v>
      </c>
      <c r="S532">
        <v>0</v>
      </c>
      <c r="T532">
        <v>2</v>
      </c>
      <c r="U532">
        <v>1</v>
      </c>
      <c r="V532">
        <v>5</v>
      </c>
      <c r="W532">
        <v>6</v>
      </c>
      <c r="X532">
        <v>1</v>
      </c>
      <c r="Z532">
        <v>0</v>
      </c>
    </row>
    <row r="533" spans="1:38" x14ac:dyDescent="0.3">
      <c r="A533">
        <v>305898</v>
      </c>
      <c r="B533" t="s">
        <v>69</v>
      </c>
      <c r="C533" t="s">
        <v>388</v>
      </c>
      <c r="D533">
        <v>2020</v>
      </c>
      <c r="E533" t="s">
        <v>58</v>
      </c>
      <c r="F533" t="s">
        <v>59</v>
      </c>
      <c r="S533">
        <v>0</v>
      </c>
      <c r="T533">
        <v>7</v>
      </c>
      <c r="U533">
        <v>6</v>
      </c>
      <c r="V533">
        <v>17</v>
      </c>
      <c r="W533">
        <v>23</v>
      </c>
      <c r="X533">
        <v>6</v>
      </c>
      <c r="Z533">
        <v>0</v>
      </c>
    </row>
    <row r="534" spans="1:38" x14ac:dyDescent="0.3">
      <c r="A534">
        <v>305898</v>
      </c>
      <c r="B534" t="s">
        <v>69</v>
      </c>
      <c r="C534" t="s">
        <v>388</v>
      </c>
      <c r="D534">
        <v>2021</v>
      </c>
      <c r="E534" t="s">
        <v>58</v>
      </c>
      <c r="F534" t="s">
        <v>59</v>
      </c>
      <c r="S534">
        <v>1</v>
      </c>
      <c r="T534">
        <v>4</v>
      </c>
      <c r="U534">
        <v>3.5</v>
      </c>
      <c r="V534">
        <v>23</v>
      </c>
      <c r="W534">
        <v>34</v>
      </c>
      <c r="X534">
        <v>10</v>
      </c>
      <c r="Z534">
        <v>0</v>
      </c>
      <c r="AK534">
        <v>0</v>
      </c>
      <c r="AL534">
        <v>0</v>
      </c>
    </row>
    <row r="535" spans="1:38" x14ac:dyDescent="0.3">
      <c r="A535">
        <v>305898</v>
      </c>
      <c r="B535" t="s">
        <v>69</v>
      </c>
      <c r="C535" t="s">
        <v>388</v>
      </c>
      <c r="D535">
        <v>2022</v>
      </c>
      <c r="E535" t="s">
        <v>58</v>
      </c>
      <c r="F535" t="s">
        <v>59</v>
      </c>
      <c r="S535">
        <v>0</v>
      </c>
      <c r="T535">
        <v>3</v>
      </c>
      <c r="U535">
        <v>2</v>
      </c>
      <c r="V535">
        <v>14</v>
      </c>
      <c r="W535">
        <v>20</v>
      </c>
      <c r="X535">
        <v>3</v>
      </c>
      <c r="Z535">
        <v>0</v>
      </c>
    </row>
    <row r="536" spans="1:38" x14ac:dyDescent="0.3">
      <c r="A536">
        <v>305898</v>
      </c>
      <c r="B536" t="s">
        <v>69</v>
      </c>
      <c r="C536" t="s">
        <v>388</v>
      </c>
      <c r="D536">
        <v>2023</v>
      </c>
      <c r="E536" t="s">
        <v>145</v>
      </c>
      <c r="F536" t="s">
        <v>146</v>
      </c>
      <c r="S536">
        <v>0</v>
      </c>
      <c r="T536">
        <v>5</v>
      </c>
      <c r="U536">
        <v>4</v>
      </c>
      <c r="V536">
        <v>7</v>
      </c>
      <c r="W536">
        <v>16</v>
      </c>
      <c r="X536">
        <v>8.5</v>
      </c>
      <c r="Z536">
        <v>0</v>
      </c>
    </row>
    <row r="537" spans="1:38" x14ac:dyDescent="0.3">
      <c r="A537">
        <v>305905</v>
      </c>
      <c r="B537" t="s">
        <v>69</v>
      </c>
      <c r="C537" t="s">
        <v>389</v>
      </c>
      <c r="D537">
        <v>2018</v>
      </c>
      <c r="E537" t="s">
        <v>390</v>
      </c>
      <c r="F537" t="s">
        <v>391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</v>
      </c>
      <c r="Z537">
        <v>0</v>
      </c>
    </row>
    <row r="538" spans="1:38" x14ac:dyDescent="0.3">
      <c r="A538">
        <v>305905</v>
      </c>
      <c r="B538" t="s">
        <v>69</v>
      </c>
      <c r="C538" t="s">
        <v>389</v>
      </c>
      <c r="D538">
        <v>2021</v>
      </c>
      <c r="E538" t="s">
        <v>390</v>
      </c>
      <c r="F538" t="s">
        <v>391</v>
      </c>
      <c r="S538">
        <v>0</v>
      </c>
      <c r="T538">
        <v>0</v>
      </c>
      <c r="U538">
        <v>0</v>
      </c>
      <c r="V538">
        <v>3</v>
      </c>
      <c r="W538">
        <v>4</v>
      </c>
      <c r="X538">
        <v>1</v>
      </c>
      <c r="Z538">
        <v>0</v>
      </c>
    </row>
    <row r="539" spans="1:38" x14ac:dyDescent="0.3">
      <c r="A539">
        <v>305905</v>
      </c>
      <c r="B539" t="s">
        <v>69</v>
      </c>
      <c r="C539" t="s">
        <v>389</v>
      </c>
      <c r="D539">
        <v>2022</v>
      </c>
      <c r="E539" t="s">
        <v>390</v>
      </c>
      <c r="F539" t="s">
        <v>391</v>
      </c>
      <c r="S539">
        <v>0</v>
      </c>
      <c r="T539">
        <v>0</v>
      </c>
      <c r="U539">
        <v>0</v>
      </c>
      <c r="V539">
        <v>3</v>
      </c>
      <c r="W539">
        <v>3</v>
      </c>
      <c r="X539">
        <v>1</v>
      </c>
      <c r="Z539">
        <v>0</v>
      </c>
    </row>
    <row r="540" spans="1:38" x14ac:dyDescent="0.3">
      <c r="A540">
        <v>305905</v>
      </c>
      <c r="B540" t="s">
        <v>69</v>
      </c>
      <c r="C540" t="s">
        <v>389</v>
      </c>
      <c r="D540">
        <v>2023</v>
      </c>
      <c r="E540" t="s">
        <v>390</v>
      </c>
      <c r="F540" t="s">
        <v>391</v>
      </c>
      <c r="S540">
        <v>0</v>
      </c>
      <c r="T540">
        <v>0</v>
      </c>
      <c r="U540">
        <v>0.5</v>
      </c>
      <c r="V540">
        <v>0</v>
      </c>
      <c r="W540">
        <v>1</v>
      </c>
      <c r="X540">
        <v>0.5</v>
      </c>
      <c r="Z540">
        <v>0</v>
      </c>
    </row>
    <row r="541" spans="1:38" x14ac:dyDescent="0.3">
      <c r="A541">
        <v>305968</v>
      </c>
      <c r="B541" t="s">
        <v>380</v>
      </c>
      <c r="C541" t="s">
        <v>392</v>
      </c>
      <c r="D541">
        <v>2018</v>
      </c>
      <c r="E541" t="s">
        <v>393</v>
      </c>
      <c r="F541" t="s">
        <v>394</v>
      </c>
      <c r="S541">
        <v>0</v>
      </c>
      <c r="T541">
        <v>2</v>
      </c>
      <c r="U541">
        <v>1.5</v>
      </c>
      <c r="V541">
        <v>11</v>
      </c>
      <c r="W541">
        <v>21</v>
      </c>
      <c r="X541">
        <v>2</v>
      </c>
      <c r="Z541">
        <v>0</v>
      </c>
    </row>
    <row r="542" spans="1:38" x14ac:dyDescent="0.3">
      <c r="A542">
        <v>305968</v>
      </c>
      <c r="B542" t="s">
        <v>380</v>
      </c>
      <c r="C542" t="s">
        <v>392</v>
      </c>
      <c r="D542">
        <v>2019</v>
      </c>
      <c r="E542" t="s">
        <v>393</v>
      </c>
      <c r="F542" t="s">
        <v>394</v>
      </c>
      <c r="S542">
        <v>0</v>
      </c>
      <c r="T542">
        <v>5</v>
      </c>
      <c r="U542">
        <v>2</v>
      </c>
      <c r="V542">
        <v>20</v>
      </c>
      <c r="W542">
        <v>37</v>
      </c>
      <c r="X542">
        <v>5.5</v>
      </c>
      <c r="Z542">
        <v>0</v>
      </c>
      <c r="AK542">
        <v>0</v>
      </c>
      <c r="AL542">
        <v>0</v>
      </c>
    </row>
    <row r="543" spans="1:38" x14ac:dyDescent="0.3">
      <c r="A543">
        <v>305968</v>
      </c>
      <c r="B543" t="s">
        <v>380</v>
      </c>
      <c r="C543" t="s">
        <v>392</v>
      </c>
      <c r="D543">
        <v>2020</v>
      </c>
      <c r="E543" t="s">
        <v>393</v>
      </c>
      <c r="F543" t="s">
        <v>394</v>
      </c>
      <c r="S543">
        <v>0</v>
      </c>
      <c r="T543">
        <v>4</v>
      </c>
      <c r="U543">
        <v>3.5</v>
      </c>
      <c r="V543">
        <v>11</v>
      </c>
      <c r="W543">
        <v>25</v>
      </c>
      <c r="X543">
        <v>5.5</v>
      </c>
      <c r="Z543">
        <v>1</v>
      </c>
      <c r="AK543">
        <v>0</v>
      </c>
      <c r="AL543">
        <v>0</v>
      </c>
    </row>
    <row r="544" spans="1:38" x14ac:dyDescent="0.3">
      <c r="A544">
        <v>305968</v>
      </c>
      <c r="B544" t="s">
        <v>380</v>
      </c>
      <c r="C544" t="s">
        <v>392</v>
      </c>
      <c r="D544">
        <v>2021</v>
      </c>
      <c r="E544" t="s">
        <v>393</v>
      </c>
      <c r="F544" t="s">
        <v>394</v>
      </c>
      <c r="S544">
        <v>0</v>
      </c>
      <c r="T544">
        <v>5</v>
      </c>
      <c r="U544">
        <v>5</v>
      </c>
      <c r="V544">
        <v>25</v>
      </c>
      <c r="W544">
        <v>54</v>
      </c>
      <c r="X544">
        <v>12</v>
      </c>
      <c r="Z544">
        <v>0</v>
      </c>
    </row>
    <row r="545" spans="1:38" x14ac:dyDescent="0.3">
      <c r="A545">
        <v>305968</v>
      </c>
      <c r="B545" t="s">
        <v>380</v>
      </c>
      <c r="C545" t="s">
        <v>392</v>
      </c>
      <c r="D545">
        <v>2022</v>
      </c>
      <c r="E545" t="s">
        <v>393</v>
      </c>
      <c r="F545" t="s">
        <v>394</v>
      </c>
      <c r="S545">
        <v>0</v>
      </c>
      <c r="T545">
        <v>1</v>
      </c>
      <c r="U545">
        <v>4.5</v>
      </c>
      <c r="V545">
        <v>13</v>
      </c>
      <c r="W545">
        <v>19</v>
      </c>
      <c r="X545">
        <v>8</v>
      </c>
      <c r="Z545">
        <v>0</v>
      </c>
    </row>
    <row r="546" spans="1:38" x14ac:dyDescent="0.3">
      <c r="A546">
        <v>306023</v>
      </c>
      <c r="B546" t="s">
        <v>50</v>
      </c>
      <c r="C546" t="s">
        <v>395</v>
      </c>
      <c r="D546">
        <v>2018</v>
      </c>
      <c r="E546" t="s">
        <v>396</v>
      </c>
      <c r="F546" t="s">
        <v>397</v>
      </c>
      <c r="S546">
        <v>1</v>
      </c>
      <c r="T546">
        <v>0</v>
      </c>
      <c r="U546">
        <v>0</v>
      </c>
      <c r="V546">
        <v>4</v>
      </c>
      <c r="W546">
        <v>4</v>
      </c>
      <c r="X546">
        <v>0</v>
      </c>
      <c r="Y546">
        <v>1</v>
      </c>
      <c r="Z546">
        <v>0</v>
      </c>
    </row>
    <row r="547" spans="1:38" x14ac:dyDescent="0.3">
      <c r="A547">
        <v>306023</v>
      </c>
      <c r="B547" t="s">
        <v>50</v>
      </c>
      <c r="C547" t="s">
        <v>395</v>
      </c>
      <c r="D547">
        <v>2019</v>
      </c>
      <c r="E547" t="s">
        <v>396</v>
      </c>
      <c r="F547" t="s">
        <v>397</v>
      </c>
      <c r="S547">
        <v>7</v>
      </c>
      <c r="T547">
        <v>0</v>
      </c>
      <c r="U547">
        <v>0</v>
      </c>
      <c r="V547">
        <v>34</v>
      </c>
      <c r="W547">
        <v>42</v>
      </c>
      <c r="X547">
        <v>0</v>
      </c>
      <c r="Y547">
        <v>3</v>
      </c>
      <c r="Z547">
        <v>0</v>
      </c>
      <c r="AK547">
        <v>0</v>
      </c>
      <c r="AL547">
        <v>0</v>
      </c>
    </row>
    <row r="548" spans="1:38" x14ac:dyDescent="0.3">
      <c r="A548">
        <v>306023</v>
      </c>
      <c r="B548" t="s">
        <v>50</v>
      </c>
      <c r="C548" t="s">
        <v>395</v>
      </c>
      <c r="D548">
        <v>2020</v>
      </c>
      <c r="E548" t="s">
        <v>396</v>
      </c>
      <c r="F548" t="s">
        <v>397</v>
      </c>
      <c r="S548">
        <v>4</v>
      </c>
      <c r="T548">
        <v>0</v>
      </c>
      <c r="U548">
        <v>0</v>
      </c>
      <c r="V548">
        <v>31</v>
      </c>
      <c r="W548">
        <v>38</v>
      </c>
      <c r="X548">
        <v>1</v>
      </c>
      <c r="Z548">
        <v>0</v>
      </c>
      <c r="AK548">
        <v>0</v>
      </c>
      <c r="AL548">
        <v>0</v>
      </c>
    </row>
    <row r="549" spans="1:38" x14ac:dyDescent="0.3">
      <c r="A549">
        <v>306023</v>
      </c>
      <c r="B549" t="s">
        <v>50</v>
      </c>
      <c r="C549" t="s">
        <v>395</v>
      </c>
      <c r="D549">
        <v>2021</v>
      </c>
      <c r="E549" t="s">
        <v>396</v>
      </c>
      <c r="F549" t="s">
        <v>397</v>
      </c>
      <c r="S549">
        <v>9</v>
      </c>
      <c r="T549">
        <v>0</v>
      </c>
      <c r="U549">
        <v>0</v>
      </c>
      <c r="V549">
        <v>47</v>
      </c>
      <c r="W549">
        <v>61</v>
      </c>
      <c r="X549">
        <v>1</v>
      </c>
      <c r="Y549">
        <v>2</v>
      </c>
      <c r="Z549">
        <v>0</v>
      </c>
    </row>
    <row r="550" spans="1:38" x14ac:dyDescent="0.3">
      <c r="A550">
        <v>306023</v>
      </c>
      <c r="B550" t="s">
        <v>50</v>
      </c>
      <c r="C550" t="s">
        <v>395</v>
      </c>
      <c r="D550">
        <v>2022</v>
      </c>
      <c r="E550" t="s">
        <v>396</v>
      </c>
      <c r="F550" t="s">
        <v>397</v>
      </c>
      <c r="S550">
        <v>8</v>
      </c>
      <c r="T550">
        <v>1</v>
      </c>
      <c r="U550">
        <v>0</v>
      </c>
      <c r="V550">
        <v>32</v>
      </c>
      <c r="W550">
        <v>44</v>
      </c>
      <c r="X550">
        <v>1.5</v>
      </c>
      <c r="Y550">
        <v>2</v>
      </c>
      <c r="Z550">
        <v>0</v>
      </c>
      <c r="AF550">
        <v>5</v>
      </c>
      <c r="AG550">
        <v>5</v>
      </c>
      <c r="AH550">
        <v>1</v>
      </c>
      <c r="AI550">
        <v>0</v>
      </c>
      <c r="AJ550">
        <v>5</v>
      </c>
    </row>
    <row r="551" spans="1:38" x14ac:dyDescent="0.3">
      <c r="A551">
        <v>306113</v>
      </c>
      <c r="B551" t="s">
        <v>38</v>
      </c>
      <c r="C551" t="s">
        <v>398</v>
      </c>
      <c r="D551">
        <v>2019</v>
      </c>
      <c r="E551" t="s">
        <v>306</v>
      </c>
      <c r="F551" t="s">
        <v>307</v>
      </c>
      <c r="S551">
        <v>0</v>
      </c>
      <c r="T551">
        <v>0</v>
      </c>
      <c r="U551">
        <v>1</v>
      </c>
      <c r="V551">
        <v>12</v>
      </c>
      <c r="W551">
        <v>23</v>
      </c>
      <c r="X551">
        <v>2</v>
      </c>
      <c r="Z551">
        <v>0</v>
      </c>
    </row>
    <row r="552" spans="1:38" x14ac:dyDescent="0.3">
      <c r="A552">
        <v>306113</v>
      </c>
      <c r="B552" t="s">
        <v>38</v>
      </c>
      <c r="C552" t="s">
        <v>398</v>
      </c>
      <c r="D552">
        <v>2020</v>
      </c>
      <c r="E552" t="s">
        <v>306</v>
      </c>
      <c r="F552" t="s">
        <v>307</v>
      </c>
      <c r="S552">
        <v>0</v>
      </c>
      <c r="T552">
        <v>0</v>
      </c>
      <c r="U552">
        <v>0</v>
      </c>
      <c r="V552">
        <v>4</v>
      </c>
      <c r="W552">
        <v>5</v>
      </c>
      <c r="X552">
        <v>1</v>
      </c>
      <c r="Z552">
        <v>0</v>
      </c>
    </row>
    <row r="553" spans="1:38" x14ac:dyDescent="0.3">
      <c r="A553">
        <v>306113</v>
      </c>
      <c r="B553" t="s">
        <v>38</v>
      </c>
      <c r="C553" t="s">
        <v>398</v>
      </c>
      <c r="D553">
        <v>2021</v>
      </c>
      <c r="E553" t="s">
        <v>306</v>
      </c>
      <c r="F553" t="s">
        <v>307</v>
      </c>
      <c r="S553">
        <v>2</v>
      </c>
      <c r="T553">
        <v>1</v>
      </c>
      <c r="U553">
        <v>1</v>
      </c>
      <c r="V553">
        <v>18</v>
      </c>
      <c r="W553">
        <v>36</v>
      </c>
      <c r="X553">
        <v>6.5</v>
      </c>
      <c r="Y553">
        <v>1</v>
      </c>
      <c r="Z553">
        <v>0</v>
      </c>
    </row>
    <row r="554" spans="1:38" x14ac:dyDescent="0.3">
      <c r="A554">
        <v>306113</v>
      </c>
      <c r="B554" t="s">
        <v>38</v>
      </c>
      <c r="C554" t="s">
        <v>398</v>
      </c>
      <c r="D554">
        <v>2022</v>
      </c>
      <c r="E554" t="s">
        <v>306</v>
      </c>
      <c r="F554" t="s">
        <v>307</v>
      </c>
      <c r="S554">
        <v>4</v>
      </c>
      <c r="T554">
        <v>0</v>
      </c>
      <c r="U554">
        <v>0</v>
      </c>
      <c r="V554">
        <v>19</v>
      </c>
      <c r="W554">
        <v>30</v>
      </c>
      <c r="X554">
        <v>4.5</v>
      </c>
      <c r="Z554">
        <v>0</v>
      </c>
    </row>
    <row r="555" spans="1:38" x14ac:dyDescent="0.3">
      <c r="A555">
        <v>306113</v>
      </c>
      <c r="B555" t="s">
        <v>38</v>
      </c>
      <c r="C555" t="s">
        <v>398</v>
      </c>
      <c r="D555">
        <v>2023</v>
      </c>
      <c r="E555" t="s">
        <v>306</v>
      </c>
      <c r="F555" t="s">
        <v>307</v>
      </c>
      <c r="S555">
        <v>1</v>
      </c>
      <c r="T555">
        <v>1</v>
      </c>
      <c r="U555">
        <v>0</v>
      </c>
      <c r="V555">
        <v>8</v>
      </c>
      <c r="W555">
        <v>17</v>
      </c>
      <c r="X555">
        <v>3.5</v>
      </c>
      <c r="Z555">
        <v>0</v>
      </c>
    </row>
    <row r="556" spans="1:38" x14ac:dyDescent="0.3">
      <c r="A556">
        <v>306250</v>
      </c>
      <c r="B556" t="s">
        <v>46</v>
      </c>
      <c r="C556" t="s">
        <v>399</v>
      </c>
      <c r="D556">
        <v>2018</v>
      </c>
      <c r="E556" t="s">
        <v>157</v>
      </c>
      <c r="F556" t="s">
        <v>158</v>
      </c>
      <c r="P556">
        <v>4</v>
      </c>
      <c r="Q556">
        <v>0</v>
      </c>
      <c r="R556">
        <v>45</v>
      </c>
    </row>
    <row r="557" spans="1:38" x14ac:dyDescent="0.3">
      <c r="A557">
        <v>306250</v>
      </c>
      <c r="B557" t="s">
        <v>46</v>
      </c>
      <c r="C557" t="s">
        <v>399</v>
      </c>
      <c r="D557">
        <v>2019</v>
      </c>
      <c r="E557" t="s">
        <v>157</v>
      </c>
      <c r="F557" t="s">
        <v>158</v>
      </c>
      <c r="P557">
        <v>8</v>
      </c>
      <c r="Q557">
        <v>2</v>
      </c>
      <c r="R557">
        <v>217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Z557">
        <v>0</v>
      </c>
    </row>
    <row r="558" spans="1:38" x14ac:dyDescent="0.3">
      <c r="A558">
        <v>306250</v>
      </c>
      <c r="B558" t="s">
        <v>46</v>
      </c>
      <c r="C558" t="s">
        <v>399</v>
      </c>
      <c r="D558">
        <v>2020</v>
      </c>
      <c r="E558" t="s">
        <v>157</v>
      </c>
      <c r="F558" t="s">
        <v>158</v>
      </c>
      <c r="P558">
        <v>4</v>
      </c>
      <c r="Q558">
        <v>1</v>
      </c>
      <c r="R558">
        <v>38</v>
      </c>
    </row>
    <row r="559" spans="1:38" x14ac:dyDescent="0.3">
      <c r="A559">
        <v>306250</v>
      </c>
      <c r="B559" t="s">
        <v>46</v>
      </c>
      <c r="C559" t="s">
        <v>399</v>
      </c>
      <c r="D559">
        <v>2021</v>
      </c>
      <c r="E559" t="s">
        <v>157</v>
      </c>
      <c r="F559" t="s">
        <v>158</v>
      </c>
      <c r="P559">
        <v>31</v>
      </c>
      <c r="Q559">
        <v>5</v>
      </c>
      <c r="R559">
        <v>612</v>
      </c>
    </row>
    <row r="560" spans="1:38" x14ac:dyDescent="0.3">
      <c r="A560">
        <v>306250</v>
      </c>
      <c r="B560" t="s">
        <v>46</v>
      </c>
      <c r="C560" t="s">
        <v>399</v>
      </c>
      <c r="D560">
        <v>2022</v>
      </c>
      <c r="E560" t="s">
        <v>157</v>
      </c>
      <c r="F560" t="s">
        <v>158</v>
      </c>
      <c r="P560">
        <v>43</v>
      </c>
      <c r="Q560">
        <v>7</v>
      </c>
      <c r="R560">
        <v>798</v>
      </c>
      <c r="AA560">
        <v>20</v>
      </c>
      <c r="AB560">
        <v>20</v>
      </c>
      <c r="AC560">
        <v>1</v>
      </c>
      <c r="AD560">
        <v>0</v>
      </c>
      <c r="AE560">
        <v>20</v>
      </c>
    </row>
    <row r="561" spans="1:38" x14ac:dyDescent="0.3">
      <c r="A561">
        <v>306257</v>
      </c>
      <c r="B561" t="s">
        <v>46</v>
      </c>
      <c r="C561" t="s">
        <v>400</v>
      </c>
      <c r="D561">
        <v>2018</v>
      </c>
      <c r="E561" t="s">
        <v>401</v>
      </c>
      <c r="F561" t="s">
        <v>402</v>
      </c>
      <c r="P561">
        <v>1</v>
      </c>
      <c r="Q561">
        <v>0</v>
      </c>
      <c r="R561">
        <v>11</v>
      </c>
    </row>
    <row r="562" spans="1:38" x14ac:dyDescent="0.3">
      <c r="A562">
        <v>306257</v>
      </c>
      <c r="B562" t="s">
        <v>46</v>
      </c>
      <c r="C562" t="s">
        <v>400</v>
      </c>
      <c r="D562">
        <v>2019</v>
      </c>
      <c r="E562" t="s">
        <v>401</v>
      </c>
      <c r="F562" t="s">
        <v>402</v>
      </c>
      <c r="P562">
        <v>6</v>
      </c>
      <c r="Q562">
        <v>0</v>
      </c>
      <c r="R562">
        <v>81</v>
      </c>
    </row>
    <row r="563" spans="1:38" x14ac:dyDescent="0.3">
      <c r="A563">
        <v>306257</v>
      </c>
      <c r="B563" t="s">
        <v>46</v>
      </c>
      <c r="C563" t="s">
        <v>400</v>
      </c>
      <c r="D563">
        <v>2021</v>
      </c>
      <c r="E563" t="s">
        <v>92</v>
      </c>
      <c r="F563" t="s">
        <v>93</v>
      </c>
      <c r="P563">
        <v>18</v>
      </c>
      <c r="Q563">
        <v>4</v>
      </c>
      <c r="R563">
        <v>481</v>
      </c>
    </row>
    <row r="564" spans="1:38" x14ac:dyDescent="0.3">
      <c r="A564">
        <v>306257</v>
      </c>
      <c r="B564" t="s">
        <v>46</v>
      </c>
      <c r="C564" t="s">
        <v>400</v>
      </c>
      <c r="D564">
        <v>2022</v>
      </c>
      <c r="E564" t="s">
        <v>92</v>
      </c>
      <c r="F564" t="s">
        <v>93</v>
      </c>
      <c r="P564">
        <v>51</v>
      </c>
      <c r="Q564">
        <v>7</v>
      </c>
      <c r="R564">
        <v>810</v>
      </c>
      <c r="S564">
        <v>0</v>
      </c>
      <c r="T564">
        <v>0</v>
      </c>
      <c r="U564">
        <v>0</v>
      </c>
      <c r="V564">
        <v>3</v>
      </c>
      <c r="W564">
        <v>5</v>
      </c>
      <c r="X564">
        <v>0</v>
      </c>
      <c r="Z564">
        <v>0</v>
      </c>
      <c r="AK564">
        <v>1</v>
      </c>
      <c r="AL564">
        <v>1</v>
      </c>
    </row>
    <row r="565" spans="1:38" x14ac:dyDescent="0.3">
      <c r="A565">
        <v>306298</v>
      </c>
      <c r="B565" t="s">
        <v>69</v>
      </c>
      <c r="C565" t="s">
        <v>403</v>
      </c>
      <c r="D565">
        <v>2018</v>
      </c>
      <c r="E565" t="s">
        <v>289</v>
      </c>
      <c r="F565" t="s">
        <v>290</v>
      </c>
      <c r="S565">
        <v>0</v>
      </c>
      <c r="T565">
        <v>0</v>
      </c>
      <c r="U565">
        <v>0</v>
      </c>
      <c r="V565">
        <v>2</v>
      </c>
      <c r="W565">
        <v>5</v>
      </c>
      <c r="X565">
        <v>0</v>
      </c>
      <c r="Z565">
        <v>0</v>
      </c>
    </row>
    <row r="566" spans="1:38" x14ac:dyDescent="0.3">
      <c r="A566">
        <v>306298</v>
      </c>
      <c r="B566" t="s">
        <v>69</v>
      </c>
      <c r="C566" t="s">
        <v>403</v>
      </c>
      <c r="D566">
        <v>2019</v>
      </c>
      <c r="E566" t="s">
        <v>289</v>
      </c>
      <c r="F566" t="s">
        <v>290</v>
      </c>
      <c r="S566">
        <v>1</v>
      </c>
      <c r="T566">
        <v>3</v>
      </c>
      <c r="U566">
        <v>6.5</v>
      </c>
      <c r="V566">
        <v>22</v>
      </c>
      <c r="W566">
        <v>45</v>
      </c>
      <c r="X566">
        <v>9.5</v>
      </c>
      <c r="Z566">
        <v>0</v>
      </c>
    </row>
    <row r="567" spans="1:38" x14ac:dyDescent="0.3">
      <c r="A567">
        <v>306298</v>
      </c>
      <c r="B567" t="s">
        <v>69</v>
      </c>
      <c r="C567" t="s">
        <v>403</v>
      </c>
      <c r="D567">
        <v>2021</v>
      </c>
      <c r="E567" t="s">
        <v>289</v>
      </c>
      <c r="F567" t="s">
        <v>290</v>
      </c>
      <c r="S567">
        <v>0</v>
      </c>
      <c r="T567">
        <v>2</v>
      </c>
      <c r="U567">
        <v>3.5</v>
      </c>
      <c r="V567">
        <v>21</v>
      </c>
      <c r="W567">
        <v>37</v>
      </c>
      <c r="X567">
        <v>3.5</v>
      </c>
      <c r="Z567">
        <v>0</v>
      </c>
    </row>
    <row r="568" spans="1:38" x14ac:dyDescent="0.3">
      <c r="A568">
        <v>306298</v>
      </c>
      <c r="B568" t="s">
        <v>69</v>
      </c>
      <c r="C568" t="s">
        <v>403</v>
      </c>
      <c r="D568">
        <v>2022</v>
      </c>
      <c r="E568" t="s">
        <v>112</v>
      </c>
      <c r="F568" t="s">
        <v>113</v>
      </c>
      <c r="S568">
        <v>1</v>
      </c>
      <c r="T568">
        <v>1</v>
      </c>
      <c r="U568">
        <v>4</v>
      </c>
      <c r="V568">
        <v>18</v>
      </c>
      <c r="W568">
        <v>27</v>
      </c>
      <c r="X568">
        <v>7.5</v>
      </c>
      <c r="Z568">
        <v>0</v>
      </c>
      <c r="AK568">
        <v>0</v>
      </c>
      <c r="AL568">
        <v>0</v>
      </c>
    </row>
    <row r="569" spans="1:38" x14ac:dyDescent="0.3">
      <c r="A569">
        <v>306298</v>
      </c>
      <c r="B569" t="s">
        <v>69</v>
      </c>
      <c r="C569" t="s">
        <v>403</v>
      </c>
      <c r="D569">
        <v>2023</v>
      </c>
      <c r="E569" t="s">
        <v>112</v>
      </c>
      <c r="F569" t="s">
        <v>113</v>
      </c>
      <c r="S569">
        <v>1</v>
      </c>
      <c r="T569">
        <v>2</v>
      </c>
      <c r="U569">
        <v>4.5</v>
      </c>
      <c r="V569">
        <v>26</v>
      </c>
      <c r="W569">
        <v>44</v>
      </c>
      <c r="X569">
        <v>7.5</v>
      </c>
      <c r="Z569">
        <v>0</v>
      </c>
      <c r="AK569">
        <v>0</v>
      </c>
      <c r="AL569">
        <v>0</v>
      </c>
    </row>
    <row r="570" spans="1:38" x14ac:dyDescent="0.3">
      <c r="A570">
        <v>306315</v>
      </c>
      <c r="B570" t="s">
        <v>84</v>
      </c>
      <c r="C570" t="s">
        <v>404</v>
      </c>
      <c r="D570">
        <v>2019</v>
      </c>
      <c r="E570" t="s">
        <v>95</v>
      </c>
      <c r="F570" t="s">
        <v>96</v>
      </c>
      <c r="M570">
        <v>9</v>
      </c>
      <c r="N570">
        <v>20</v>
      </c>
      <c r="O570">
        <v>1</v>
      </c>
      <c r="AK570">
        <v>1</v>
      </c>
      <c r="AL570">
        <v>1</v>
      </c>
    </row>
    <row r="571" spans="1:38" x14ac:dyDescent="0.3">
      <c r="A571">
        <v>306315</v>
      </c>
      <c r="B571" t="s">
        <v>84</v>
      </c>
      <c r="C571" t="s">
        <v>404</v>
      </c>
      <c r="D571">
        <v>2020</v>
      </c>
      <c r="E571" t="s">
        <v>95</v>
      </c>
      <c r="F571" t="s">
        <v>96</v>
      </c>
      <c r="S571">
        <v>0</v>
      </c>
      <c r="T571">
        <v>0</v>
      </c>
      <c r="U571">
        <v>0</v>
      </c>
      <c r="V571">
        <v>3</v>
      </c>
      <c r="W571">
        <v>8</v>
      </c>
      <c r="X571">
        <v>0</v>
      </c>
      <c r="Z571">
        <v>0</v>
      </c>
    </row>
    <row r="572" spans="1:38" x14ac:dyDescent="0.3">
      <c r="A572">
        <v>306315</v>
      </c>
      <c r="B572" t="s">
        <v>84</v>
      </c>
      <c r="C572" t="s">
        <v>404</v>
      </c>
      <c r="D572">
        <v>2021</v>
      </c>
      <c r="E572" t="s">
        <v>125</v>
      </c>
      <c r="F572" t="s">
        <v>126</v>
      </c>
      <c r="S572">
        <v>0</v>
      </c>
      <c r="T572">
        <v>0</v>
      </c>
      <c r="U572">
        <v>0</v>
      </c>
      <c r="V572">
        <v>7</v>
      </c>
      <c r="W572">
        <v>12</v>
      </c>
      <c r="X572">
        <v>1</v>
      </c>
      <c r="Z572">
        <v>0</v>
      </c>
    </row>
    <row r="573" spans="1:38" x14ac:dyDescent="0.3">
      <c r="A573">
        <v>306315</v>
      </c>
      <c r="B573" t="s">
        <v>84</v>
      </c>
      <c r="C573" t="s">
        <v>404</v>
      </c>
      <c r="D573">
        <v>2022</v>
      </c>
      <c r="E573" t="s">
        <v>125</v>
      </c>
      <c r="F573" t="s">
        <v>126</v>
      </c>
      <c r="S573">
        <v>2</v>
      </c>
      <c r="T573">
        <v>3</v>
      </c>
      <c r="U573">
        <v>2</v>
      </c>
      <c r="V573">
        <v>25</v>
      </c>
      <c r="W573">
        <v>73</v>
      </c>
      <c r="X573">
        <v>3</v>
      </c>
      <c r="Z573">
        <v>0</v>
      </c>
    </row>
    <row r="574" spans="1:38" x14ac:dyDescent="0.3">
      <c r="A574">
        <v>307223</v>
      </c>
      <c r="B574" t="s">
        <v>38</v>
      </c>
      <c r="C574" t="s">
        <v>405</v>
      </c>
      <c r="D574">
        <v>2019</v>
      </c>
      <c r="E574" t="s">
        <v>160</v>
      </c>
      <c r="F574" t="s">
        <v>161</v>
      </c>
      <c r="S574">
        <v>0</v>
      </c>
      <c r="T574">
        <v>0</v>
      </c>
      <c r="U574">
        <v>0</v>
      </c>
      <c r="V574">
        <v>4</v>
      </c>
      <c r="W574">
        <v>12</v>
      </c>
      <c r="X574">
        <v>2.5</v>
      </c>
      <c r="Z574">
        <v>0</v>
      </c>
    </row>
    <row r="575" spans="1:38" x14ac:dyDescent="0.3">
      <c r="A575">
        <v>307223</v>
      </c>
      <c r="B575" t="s">
        <v>38</v>
      </c>
      <c r="C575" t="s">
        <v>405</v>
      </c>
      <c r="D575">
        <v>2020</v>
      </c>
      <c r="E575" t="s">
        <v>160</v>
      </c>
      <c r="F575" t="s">
        <v>161</v>
      </c>
      <c r="S575">
        <v>0</v>
      </c>
      <c r="T575">
        <v>2</v>
      </c>
      <c r="U575">
        <v>0.5</v>
      </c>
      <c r="V575">
        <v>3</v>
      </c>
      <c r="W575">
        <v>11</v>
      </c>
      <c r="X575">
        <v>1</v>
      </c>
      <c r="Z575">
        <v>0</v>
      </c>
    </row>
    <row r="576" spans="1:38" x14ac:dyDescent="0.3">
      <c r="A576">
        <v>307223</v>
      </c>
      <c r="B576" t="s">
        <v>38</v>
      </c>
      <c r="C576" t="s">
        <v>405</v>
      </c>
      <c r="D576">
        <v>2021</v>
      </c>
      <c r="E576" t="s">
        <v>160</v>
      </c>
      <c r="F576" t="s">
        <v>161</v>
      </c>
      <c r="S576">
        <v>0</v>
      </c>
      <c r="T576">
        <v>0</v>
      </c>
      <c r="U576">
        <v>1.5</v>
      </c>
      <c r="V576">
        <v>10</v>
      </c>
      <c r="W576">
        <v>19</v>
      </c>
      <c r="X576">
        <v>4.5</v>
      </c>
      <c r="Z576">
        <v>0</v>
      </c>
      <c r="AK576">
        <v>0</v>
      </c>
      <c r="AL576">
        <v>0</v>
      </c>
    </row>
    <row r="577" spans="1:38" x14ac:dyDescent="0.3">
      <c r="A577">
        <v>307223</v>
      </c>
      <c r="B577" t="s">
        <v>38</v>
      </c>
      <c r="C577" t="s">
        <v>405</v>
      </c>
      <c r="D577">
        <v>2022</v>
      </c>
      <c r="E577" t="s">
        <v>160</v>
      </c>
      <c r="F577" t="s">
        <v>161</v>
      </c>
      <c r="S577">
        <v>0</v>
      </c>
      <c r="T577">
        <v>0</v>
      </c>
      <c r="U577">
        <v>1</v>
      </c>
      <c r="V577">
        <v>6</v>
      </c>
      <c r="W577">
        <v>18</v>
      </c>
      <c r="X577">
        <v>3</v>
      </c>
      <c r="Z577">
        <v>0</v>
      </c>
      <c r="AK577">
        <v>0</v>
      </c>
      <c r="AL577">
        <v>0</v>
      </c>
    </row>
    <row r="578" spans="1:38" x14ac:dyDescent="0.3">
      <c r="A578">
        <v>307223</v>
      </c>
      <c r="B578" t="s">
        <v>38</v>
      </c>
      <c r="C578" t="s">
        <v>405</v>
      </c>
      <c r="D578">
        <v>2023</v>
      </c>
      <c r="E578" t="s">
        <v>74</v>
      </c>
      <c r="F578" t="s">
        <v>75</v>
      </c>
      <c r="S578">
        <v>1</v>
      </c>
      <c r="T578">
        <v>1</v>
      </c>
      <c r="U578">
        <v>0.5</v>
      </c>
      <c r="V578">
        <v>10</v>
      </c>
      <c r="W578">
        <v>23</v>
      </c>
      <c r="X578">
        <v>3.5</v>
      </c>
      <c r="Z578">
        <v>0</v>
      </c>
    </row>
    <row r="579" spans="1:38" x14ac:dyDescent="0.3">
      <c r="A579">
        <v>307301</v>
      </c>
      <c r="B579" t="s">
        <v>46</v>
      </c>
      <c r="C579" t="s">
        <v>406</v>
      </c>
      <c r="D579">
        <v>2018</v>
      </c>
      <c r="E579" t="s">
        <v>173</v>
      </c>
      <c r="F579" t="s">
        <v>174</v>
      </c>
      <c r="M579">
        <v>1</v>
      </c>
      <c r="N579">
        <v>6</v>
      </c>
      <c r="O579">
        <v>0</v>
      </c>
    </row>
    <row r="580" spans="1:38" x14ac:dyDescent="0.3">
      <c r="A580">
        <v>307301</v>
      </c>
      <c r="B580" t="s">
        <v>46</v>
      </c>
      <c r="C580" t="s">
        <v>406</v>
      </c>
      <c r="D580">
        <v>2019</v>
      </c>
      <c r="E580" t="s">
        <v>173</v>
      </c>
      <c r="F580" t="s">
        <v>174</v>
      </c>
      <c r="M580">
        <v>2</v>
      </c>
      <c r="N580">
        <v>10</v>
      </c>
      <c r="O580">
        <v>0</v>
      </c>
      <c r="P580">
        <v>5</v>
      </c>
      <c r="Q580">
        <v>0</v>
      </c>
      <c r="R580">
        <v>79</v>
      </c>
      <c r="AF580">
        <v>5.5</v>
      </c>
      <c r="AG580">
        <v>6</v>
      </c>
      <c r="AH580">
        <v>2</v>
      </c>
      <c r="AI580">
        <v>0</v>
      </c>
      <c r="AJ580">
        <v>11</v>
      </c>
      <c r="AK580">
        <v>1</v>
      </c>
      <c r="AL580">
        <v>1</v>
      </c>
    </row>
    <row r="581" spans="1:38" x14ac:dyDescent="0.3">
      <c r="A581">
        <v>307301</v>
      </c>
      <c r="B581" t="s">
        <v>46</v>
      </c>
      <c r="C581" t="s">
        <v>406</v>
      </c>
      <c r="D581">
        <v>2020</v>
      </c>
      <c r="E581" t="s">
        <v>173</v>
      </c>
      <c r="F581" t="s">
        <v>174</v>
      </c>
      <c r="P581">
        <v>36</v>
      </c>
      <c r="Q581">
        <v>3</v>
      </c>
      <c r="R581">
        <v>514</v>
      </c>
      <c r="AA581">
        <v>27.1</v>
      </c>
      <c r="AB581">
        <v>56</v>
      </c>
      <c r="AC581">
        <v>11</v>
      </c>
      <c r="AD581">
        <v>0</v>
      </c>
      <c r="AE581">
        <v>298</v>
      </c>
      <c r="AF581">
        <v>6.6</v>
      </c>
      <c r="AG581">
        <v>52</v>
      </c>
      <c r="AH581">
        <v>15</v>
      </c>
      <c r="AI581">
        <v>0</v>
      </c>
      <c r="AJ581">
        <v>99</v>
      </c>
      <c r="AK581">
        <v>1</v>
      </c>
      <c r="AL581">
        <v>0</v>
      </c>
    </row>
    <row r="582" spans="1:38" x14ac:dyDescent="0.3">
      <c r="A582">
        <v>307301</v>
      </c>
      <c r="B582" t="s">
        <v>46</v>
      </c>
      <c r="C582" t="s">
        <v>406</v>
      </c>
      <c r="D582">
        <v>2021</v>
      </c>
      <c r="E582" t="s">
        <v>173</v>
      </c>
      <c r="F582" t="s">
        <v>174</v>
      </c>
      <c r="M582">
        <v>1</v>
      </c>
      <c r="N582">
        <v>37</v>
      </c>
      <c r="O582">
        <v>0</v>
      </c>
      <c r="P582">
        <v>16</v>
      </c>
      <c r="Q582">
        <v>1</v>
      </c>
      <c r="R582">
        <v>194</v>
      </c>
      <c r="AA582">
        <v>19.3</v>
      </c>
      <c r="AB582">
        <v>32</v>
      </c>
      <c r="AC582">
        <v>6</v>
      </c>
      <c r="AD582">
        <v>0</v>
      </c>
      <c r="AE582">
        <v>116</v>
      </c>
      <c r="AF582">
        <v>8.6</v>
      </c>
      <c r="AG582">
        <v>41</v>
      </c>
      <c r="AH582">
        <v>22</v>
      </c>
      <c r="AI582">
        <v>0</v>
      </c>
      <c r="AJ582">
        <v>189</v>
      </c>
      <c r="AK582">
        <v>1</v>
      </c>
      <c r="AL582">
        <v>0</v>
      </c>
    </row>
    <row r="583" spans="1:38" x14ac:dyDescent="0.3">
      <c r="A583">
        <v>307301</v>
      </c>
      <c r="B583" t="s">
        <v>46</v>
      </c>
      <c r="C583" t="s">
        <v>406</v>
      </c>
      <c r="D583">
        <v>2022</v>
      </c>
      <c r="E583" t="s">
        <v>173</v>
      </c>
      <c r="F583" t="s">
        <v>174</v>
      </c>
      <c r="M583">
        <v>1</v>
      </c>
      <c r="N583">
        <v>-5</v>
      </c>
      <c r="O583">
        <v>0</v>
      </c>
      <c r="P583">
        <v>21</v>
      </c>
      <c r="Q583">
        <v>0</v>
      </c>
      <c r="R583">
        <v>320</v>
      </c>
      <c r="AA583">
        <v>22</v>
      </c>
      <c r="AB583">
        <v>36</v>
      </c>
      <c r="AC583">
        <v>17</v>
      </c>
      <c r="AD583">
        <v>0</v>
      </c>
      <c r="AE583">
        <v>374</v>
      </c>
      <c r="AF583">
        <v>17</v>
      </c>
      <c r="AG583">
        <v>28</v>
      </c>
      <c r="AH583">
        <v>3</v>
      </c>
      <c r="AI583">
        <v>0</v>
      </c>
      <c r="AJ583">
        <v>51</v>
      </c>
    </row>
    <row r="584" spans="1:38" x14ac:dyDescent="0.3">
      <c r="A584">
        <v>307946</v>
      </c>
      <c r="B584" t="s">
        <v>46</v>
      </c>
      <c r="C584" t="s">
        <v>407</v>
      </c>
      <c r="D584">
        <v>2018</v>
      </c>
      <c r="E584" t="s">
        <v>331</v>
      </c>
      <c r="F584" t="s">
        <v>332</v>
      </c>
      <c r="M584">
        <v>1</v>
      </c>
      <c r="N584">
        <v>-1</v>
      </c>
      <c r="O584">
        <v>0</v>
      </c>
      <c r="P584">
        <v>11</v>
      </c>
      <c r="Q584">
        <v>0</v>
      </c>
      <c r="R584">
        <v>62</v>
      </c>
      <c r="AF584">
        <v>5.8</v>
      </c>
      <c r="AG584">
        <v>46</v>
      </c>
      <c r="AH584">
        <v>17</v>
      </c>
      <c r="AI584">
        <v>0</v>
      </c>
      <c r="AJ584">
        <v>98</v>
      </c>
      <c r="AK584">
        <v>2</v>
      </c>
      <c r="AL584">
        <v>0</v>
      </c>
    </row>
    <row r="585" spans="1:38" x14ac:dyDescent="0.3">
      <c r="A585">
        <v>307946</v>
      </c>
      <c r="B585" t="s">
        <v>46</v>
      </c>
      <c r="C585" t="s">
        <v>407</v>
      </c>
      <c r="D585">
        <v>2019</v>
      </c>
      <c r="E585" t="s">
        <v>331</v>
      </c>
      <c r="F585" t="s">
        <v>332</v>
      </c>
      <c r="M585">
        <v>3</v>
      </c>
      <c r="N585">
        <v>8</v>
      </c>
      <c r="O585">
        <v>0</v>
      </c>
      <c r="P585">
        <v>38</v>
      </c>
      <c r="Q585">
        <v>3</v>
      </c>
      <c r="R585">
        <v>513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0</v>
      </c>
      <c r="Z585">
        <v>0</v>
      </c>
      <c r="AF585">
        <v>11.5</v>
      </c>
      <c r="AG585">
        <v>32</v>
      </c>
      <c r="AH585">
        <v>12</v>
      </c>
      <c r="AI585">
        <v>0</v>
      </c>
      <c r="AJ585">
        <v>138</v>
      </c>
    </row>
    <row r="586" spans="1:38" x14ac:dyDescent="0.3">
      <c r="A586">
        <v>307946</v>
      </c>
      <c r="B586" t="s">
        <v>46</v>
      </c>
      <c r="C586" t="s">
        <v>407</v>
      </c>
      <c r="D586">
        <v>2020</v>
      </c>
      <c r="E586" t="s">
        <v>331</v>
      </c>
      <c r="F586" t="s">
        <v>332</v>
      </c>
      <c r="M586">
        <v>3</v>
      </c>
      <c r="N586">
        <v>11</v>
      </c>
      <c r="O586">
        <v>0</v>
      </c>
      <c r="P586">
        <v>10</v>
      </c>
      <c r="Q586">
        <v>2</v>
      </c>
      <c r="R586">
        <v>90</v>
      </c>
      <c r="S586">
        <v>0</v>
      </c>
      <c r="T586">
        <v>0</v>
      </c>
      <c r="U586">
        <v>0</v>
      </c>
      <c r="V586">
        <v>2</v>
      </c>
      <c r="W586">
        <v>2</v>
      </c>
      <c r="X586">
        <v>0</v>
      </c>
      <c r="Z586">
        <v>0</v>
      </c>
      <c r="AA586">
        <v>18.3</v>
      </c>
      <c r="AB586">
        <v>22</v>
      </c>
      <c r="AC586">
        <v>3</v>
      </c>
      <c r="AD586">
        <v>0</v>
      </c>
      <c r="AE586">
        <v>55</v>
      </c>
      <c r="AF586">
        <v>4.7</v>
      </c>
      <c r="AG586">
        <v>19</v>
      </c>
      <c r="AH586">
        <v>7</v>
      </c>
      <c r="AI586">
        <v>0</v>
      </c>
      <c r="AJ586">
        <v>33</v>
      </c>
      <c r="AK586">
        <v>2</v>
      </c>
      <c r="AL586">
        <v>1</v>
      </c>
    </row>
    <row r="587" spans="1:38" x14ac:dyDescent="0.3">
      <c r="A587">
        <v>307946</v>
      </c>
      <c r="B587" t="s">
        <v>46</v>
      </c>
      <c r="C587" t="s">
        <v>407</v>
      </c>
      <c r="D587">
        <v>2021</v>
      </c>
      <c r="E587" t="s">
        <v>331</v>
      </c>
      <c r="F587" t="s">
        <v>332</v>
      </c>
      <c r="M587">
        <v>7</v>
      </c>
      <c r="N587">
        <v>57</v>
      </c>
      <c r="O587">
        <v>0</v>
      </c>
      <c r="P587">
        <v>38</v>
      </c>
      <c r="Q587">
        <v>2</v>
      </c>
      <c r="R587">
        <v>238</v>
      </c>
      <c r="S587">
        <v>0</v>
      </c>
      <c r="T587">
        <v>0</v>
      </c>
      <c r="U587">
        <v>0</v>
      </c>
      <c r="V587">
        <v>2</v>
      </c>
      <c r="W587">
        <v>2</v>
      </c>
      <c r="X587">
        <v>0</v>
      </c>
      <c r="Z587">
        <v>1</v>
      </c>
      <c r="AA587">
        <v>29.1</v>
      </c>
      <c r="AB587">
        <v>99</v>
      </c>
      <c r="AC587">
        <v>17</v>
      </c>
      <c r="AD587">
        <v>1</v>
      </c>
      <c r="AE587">
        <v>494</v>
      </c>
      <c r="AF587">
        <v>7</v>
      </c>
      <c r="AG587">
        <v>21</v>
      </c>
      <c r="AH587">
        <v>10</v>
      </c>
      <c r="AI587">
        <v>0</v>
      </c>
      <c r="AJ587">
        <v>70</v>
      </c>
      <c r="AK587">
        <v>1</v>
      </c>
      <c r="AL587">
        <v>0</v>
      </c>
    </row>
    <row r="588" spans="1:38" x14ac:dyDescent="0.3">
      <c r="A588">
        <v>307946</v>
      </c>
      <c r="B588" t="s">
        <v>46</v>
      </c>
      <c r="C588" t="s">
        <v>407</v>
      </c>
      <c r="D588">
        <v>2022</v>
      </c>
      <c r="E588" t="s">
        <v>262</v>
      </c>
      <c r="F588" t="s">
        <v>263</v>
      </c>
      <c r="M588">
        <v>6</v>
      </c>
      <c r="N588">
        <v>42</v>
      </c>
      <c r="O588">
        <v>2</v>
      </c>
      <c r="P588">
        <v>74</v>
      </c>
      <c r="Q588">
        <v>6</v>
      </c>
      <c r="R588">
        <v>852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Z588">
        <v>2</v>
      </c>
      <c r="AA588">
        <v>22.9</v>
      </c>
      <c r="AB588">
        <v>47</v>
      </c>
      <c r="AC588">
        <v>21</v>
      </c>
      <c r="AD588">
        <v>0</v>
      </c>
      <c r="AE588">
        <v>480</v>
      </c>
      <c r="AF588">
        <v>19.899999999999999</v>
      </c>
      <c r="AG588">
        <v>87</v>
      </c>
      <c r="AH588">
        <v>13</v>
      </c>
      <c r="AI588">
        <v>2</v>
      </c>
      <c r="AJ588">
        <v>259</v>
      </c>
      <c r="AK588">
        <v>2</v>
      </c>
      <c r="AL588">
        <v>0</v>
      </c>
    </row>
    <row r="589" spans="1:38" x14ac:dyDescent="0.3">
      <c r="A589">
        <v>307962</v>
      </c>
      <c r="B589" t="s">
        <v>76</v>
      </c>
      <c r="C589" t="s">
        <v>408</v>
      </c>
      <c r="D589">
        <v>2018</v>
      </c>
      <c r="E589" t="s">
        <v>373</v>
      </c>
      <c r="F589" t="s">
        <v>374</v>
      </c>
      <c r="M589">
        <v>63</v>
      </c>
      <c r="N589">
        <v>485</v>
      </c>
      <c r="O589">
        <v>4</v>
      </c>
      <c r="P589">
        <v>9</v>
      </c>
      <c r="Q589">
        <v>1</v>
      </c>
      <c r="R589">
        <v>108</v>
      </c>
      <c r="AA589">
        <v>13.3</v>
      </c>
      <c r="AB589">
        <v>24</v>
      </c>
      <c r="AC589">
        <v>7</v>
      </c>
      <c r="AD589">
        <v>0</v>
      </c>
      <c r="AE589">
        <v>93</v>
      </c>
      <c r="AK589">
        <v>2</v>
      </c>
      <c r="AL589">
        <v>1</v>
      </c>
    </row>
    <row r="590" spans="1:38" x14ac:dyDescent="0.3">
      <c r="A590">
        <v>307962</v>
      </c>
      <c r="B590" t="s">
        <v>76</v>
      </c>
      <c r="C590" t="s">
        <v>408</v>
      </c>
      <c r="D590">
        <v>2020</v>
      </c>
      <c r="E590" t="s">
        <v>373</v>
      </c>
      <c r="F590" t="s">
        <v>374</v>
      </c>
      <c r="M590">
        <v>22</v>
      </c>
      <c r="N590">
        <v>115</v>
      </c>
      <c r="O590">
        <v>0</v>
      </c>
      <c r="P590">
        <v>1</v>
      </c>
      <c r="Q590">
        <v>0</v>
      </c>
      <c r="R590">
        <v>5</v>
      </c>
      <c r="S590">
        <v>0</v>
      </c>
      <c r="T590">
        <v>0</v>
      </c>
      <c r="U590">
        <v>0</v>
      </c>
      <c r="V590">
        <v>2</v>
      </c>
      <c r="W590">
        <v>2</v>
      </c>
      <c r="X590">
        <v>0</v>
      </c>
      <c r="Z590">
        <v>0</v>
      </c>
      <c r="AK590">
        <v>1</v>
      </c>
      <c r="AL590">
        <v>0</v>
      </c>
    </row>
    <row r="591" spans="1:38" x14ac:dyDescent="0.3">
      <c r="A591">
        <v>307962</v>
      </c>
      <c r="B591" t="s">
        <v>76</v>
      </c>
      <c r="C591" t="s">
        <v>408</v>
      </c>
      <c r="D591">
        <v>2021</v>
      </c>
      <c r="E591" t="s">
        <v>373</v>
      </c>
      <c r="F591" t="s">
        <v>374</v>
      </c>
      <c r="M591">
        <v>37</v>
      </c>
      <c r="N591">
        <v>190</v>
      </c>
      <c r="O591">
        <v>1</v>
      </c>
      <c r="P591">
        <v>5</v>
      </c>
      <c r="Q591">
        <v>0</v>
      </c>
      <c r="R591">
        <v>34</v>
      </c>
      <c r="S591">
        <v>0</v>
      </c>
      <c r="T591">
        <v>0</v>
      </c>
      <c r="U591">
        <v>0</v>
      </c>
      <c r="V591">
        <v>3</v>
      </c>
      <c r="W591">
        <v>3</v>
      </c>
      <c r="X591">
        <v>0</v>
      </c>
      <c r="Z591">
        <v>0</v>
      </c>
      <c r="AK591">
        <v>1</v>
      </c>
      <c r="AL591">
        <v>1</v>
      </c>
    </row>
    <row r="592" spans="1:38" x14ac:dyDescent="0.3">
      <c r="A592">
        <v>307962</v>
      </c>
      <c r="B592" t="s">
        <v>76</v>
      </c>
      <c r="C592" t="s">
        <v>408</v>
      </c>
      <c r="D592">
        <v>2022</v>
      </c>
      <c r="E592" t="s">
        <v>373</v>
      </c>
      <c r="F592" t="s">
        <v>374</v>
      </c>
      <c r="M592">
        <v>146</v>
      </c>
      <c r="N592">
        <v>849</v>
      </c>
      <c r="O592">
        <v>7</v>
      </c>
      <c r="P592">
        <v>15</v>
      </c>
      <c r="Q592">
        <v>0</v>
      </c>
      <c r="R592">
        <v>126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0</v>
      </c>
      <c r="Z592">
        <v>0</v>
      </c>
      <c r="AA592">
        <v>7.5</v>
      </c>
      <c r="AB592">
        <v>20</v>
      </c>
      <c r="AC592">
        <v>2</v>
      </c>
      <c r="AD592">
        <v>0</v>
      </c>
      <c r="AE592">
        <v>15</v>
      </c>
      <c r="AK592">
        <v>2</v>
      </c>
      <c r="AL592">
        <v>1</v>
      </c>
    </row>
    <row r="593" spans="1:38" x14ac:dyDescent="0.3">
      <c r="A593">
        <v>307974</v>
      </c>
      <c r="B593" t="s">
        <v>76</v>
      </c>
      <c r="C593" t="s">
        <v>409</v>
      </c>
      <c r="D593">
        <v>2018</v>
      </c>
      <c r="E593" t="s">
        <v>373</v>
      </c>
      <c r="F593" t="s">
        <v>374</v>
      </c>
      <c r="M593">
        <v>89</v>
      </c>
      <c r="N593">
        <v>499</v>
      </c>
      <c r="O593">
        <v>6</v>
      </c>
      <c r="P593">
        <v>1</v>
      </c>
      <c r="Q593">
        <v>0</v>
      </c>
      <c r="R593">
        <v>-2</v>
      </c>
      <c r="AK593">
        <v>2</v>
      </c>
      <c r="AL593">
        <v>0</v>
      </c>
    </row>
    <row r="594" spans="1:38" x14ac:dyDescent="0.3">
      <c r="A594">
        <v>307974</v>
      </c>
      <c r="B594" t="s">
        <v>76</v>
      </c>
      <c r="C594" t="s">
        <v>409</v>
      </c>
      <c r="D594">
        <v>2019</v>
      </c>
      <c r="E594" t="s">
        <v>373</v>
      </c>
      <c r="F594" t="s">
        <v>374</v>
      </c>
      <c r="M594">
        <v>40</v>
      </c>
      <c r="N594">
        <v>190</v>
      </c>
      <c r="O594">
        <v>1</v>
      </c>
      <c r="P594">
        <v>1</v>
      </c>
      <c r="Q594">
        <v>0</v>
      </c>
      <c r="R594">
        <v>6</v>
      </c>
      <c r="AK594">
        <v>1</v>
      </c>
      <c r="AL594">
        <v>1</v>
      </c>
    </row>
    <row r="595" spans="1:38" x14ac:dyDescent="0.3">
      <c r="A595">
        <v>307974</v>
      </c>
      <c r="B595" t="s">
        <v>76</v>
      </c>
      <c r="C595" t="s">
        <v>409</v>
      </c>
      <c r="D595">
        <v>2021</v>
      </c>
      <c r="E595" t="s">
        <v>176</v>
      </c>
      <c r="F595" t="s">
        <v>177</v>
      </c>
      <c r="M595">
        <v>204</v>
      </c>
      <c r="N595">
        <v>1108</v>
      </c>
      <c r="O595">
        <v>21</v>
      </c>
      <c r="P595">
        <v>2</v>
      </c>
      <c r="Q595">
        <v>0</v>
      </c>
      <c r="R595">
        <v>3</v>
      </c>
      <c r="AK595">
        <v>3</v>
      </c>
      <c r="AL595">
        <v>2</v>
      </c>
    </row>
    <row r="596" spans="1:38" x14ac:dyDescent="0.3">
      <c r="A596">
        <v>307974</v>
      </c>
      <c r="B596" t="s">
        <v>76</v>
      </c>
      <c r="C596" t="s">
        <v>409</v>
      </c>
      <c r="D596">
        <v>2022</v>
      </c>
      <c r="E596" t="s">
        <v>176</v>
      </c>
      <c r="F596" t="s">
        <v>177</v>
      </c>
      <c r="M596">
        <v>142</v>
      </c>
      <c r="N596">
        <v>687</v>
      </c>
      <c r="O596">
        <v>7</v>
      </c>
      <c r="P596">
        <v>6</v>
      </c>
      <c r="Q596">
        <v>0</v>
      </c>
      <c r="R596">
        <v>43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Z596">
        <v>0</v>
      </c>
      <c r="AK596">
        <v>2</v>
      </c>
      <c r="AL596">
        <v>1</v>
      </c>
    </row>
    <row r="597" spans="1:38" x14ac:dyDescent="0.3">
      <c r="A597">
        <v>307999</v>
      </c>
      <c r="B597" t="s">
        <v>69</v>
      </c>
      <c r="C597" t="s">
        <v>410</v>
      </c>
      <c r="D597">
        <v>2018</v>
      </c>
      <c r="E597" t="s">
        <v>411</v>
      </c>
      <c r="F597" t="s">
        <v>412</v>
      </c>
      <c r="S597">
        <v>1</v>
      </c>
      <c r="T597">
        <v>1</v>
      </c>
      <c r="U597">
        <v>0</v>
      </c>
      <c r="V597">
        <v>3</v>
      </c>
      <c r="W597">
        <v>8</v>
      </c>
      <c r="X597">
        <v>0</v>
      </c>
      <c r="Z597">
        <v>0</v>
      </c>
    </row>
    <row r="598" spans="1:38" x14ac:dyDescent="0.3">
      <c r="A598">
        <v>307999</v>
      </c>
      <c r="B598" t="s">
        <v>69</v>
      </c>
      <c r="C598" t="s">
        <v>410</v>
      </c>
      <c r="D598">
        <v>2019</v>
      </c>
      <c r="E598" t="s">
        <v>411</v>
      </c>
      <c r="F598" t="s">
        <v>412</v>
      </c>
      <c r="S598">
        <v>0</v>
      </c>
      <c r="T598">
        <v>0</v>
      </c>
      <c r="U598">
        <v>1</v>
      </c>
      <c r="V598">
        <v>26</v>
      </c>
      <c r="W598">
        <v>45</v>
      </c>
      <c r="X598">
        <v>4</v>
      </c>
      <c r="Y598">
        <v>1</v>
      </c>
      <c r="Z598">
        <v>0</v>
      </c>
      <c r="AK598">
        <v>0</v>
      </c>
      <c r="AL598">
        <v>0</v>
      </c>
    </row>
    <row r="599" spans="1:38" x14ac:dyDescent="0.3">
      <c r="A599">
        <v>307999</v>
      </c>
      <c r="B599" t="s">
        <v>69</v>
      </c>
      <c r="C599" t="s">
        <v>410</v>
      </c>
      <c r="D599">
        <v>2020</v>
      </c>
      <c r="E599" t="s">
        <v>411</v>
      </c>
      <c r="F599" t="s">
        <v>412</v>
      </c>
      <c r="S599">
        <v>0</v>
      </c>
      <c r="T599">
        <v>1</v>
      </c>
      <c r="U599">
        <v>3</v>
      </c>
      <c r="V599">
        <v>18</v>
      </c>
      <c r="W599">
        <v>33</v>
      </c>
      <c r="X599">
        <v>7</v>
      </c>
      <c r="Z599">
        <v>0</v>
      </c>
    </row>
    <row r="600" spans="1:38" x14ac:dyDescent="0.3">
      <c r="A600">
        <v>307999</v>
      </c>
      <c r="B600" t="s">
        <v>69</v>
      </c>
      <c r="C600" t="s">
        <v>410</v>
      </c>
      <c r="D600">
        <v>2021</v>
      </c>
      <c r="E600" t="s">
        <v>411</v>
      </c>
      <c r="F600" t="s">
        <v>412</v>
      </c>
      <c r="S600">
        <v>3</v>
      </c>
      <c r="T600">
        <v>2</v>
      </c>
      <c r="U600">
        <v>10</v>
      </c>
      <c r="V600">
        <v>43</v>
      </c>
      <c r="W600">
        <v>61</v>
      </c>
      <c r="X600">
        <v>17.5</v>
      </c>
      <c r="Z600">
        <v>0</v>
      </c>
    </row>
    <row r="601" spans="1:38" x14ac:dyDescent="0.3">
      <c r="A601">
        <v>307999</v>
      </c>
      <c r="B601" t="s">
        <v>69</v>
      </c>
      <c r="C601" t="s">
        <v>410</v>
      </c>
      <c r="D601">
        <v>2022</v>
      </c>
      <c r="E601" t="s">
        <v>411</v>
      </c>
      <c r="F601" t="s">
        <v>412</v>
      </c>
      <c r="S601">
        <v>4</v>
      </c>
      <c r="T601">
        <v>7</v>
      </c>
      <c r="U601">
        <v>9.5</v>
      </c>
      <c r="V601">
        <v>32</v>
      </c>
      <c r="W601">
        <v>59</v>
      </c>
      <c r="X601">
        <v>14.5</v>
      </c>
      <c r="Y601">
        <v>2</v>
      </c>
      <c r="Z601">
        <v>0</v>
      </c>
      <c r="AK601">
        <v>0</v>
      </c>
      <c r="AL601">
        <v>0</v>
      </c>
    </row>
    <row r="602" spans="1:38" x14ac:dyDescent="0.3">
      <c r="A602">
        <v>308017</v>
      </c>
      <c r="B602" t="s">
        <v>84</v>
      </c>
      <c r="C602" t="s">
        <v>413</v>
      </c>
      <c r="D602">
        <v>2018</v>
      </c>
      <c r="E602" t="s">
        <v>414</v>
      </c>
      <c r="F602" t="s">
        <v>415</v>
      </c>
      <c r="S602">
        <v>0</v>
      </c>
      <c r="T602">
        <v>0</v>
      </c>
      <c r="U602">
        <v>0</v>
      </c>
      <c r="V602">
        <v>3</v>
      </c>
      <c r="W602">
        <v>5</v>
      </c>
      <c r="X602">
        <v>0</v>
      </c>
      <c r="Z602">
        <v>0</v>
      </c>
      <c r="AA602">
        <v>9</v>
      </c>
      <c r="AB602">
        <v>9</v>
      </c>
      <c r="AC602">
        <v>1</v>
      </c>
      <c r="AD602">
        <v>0</v>
      </c>
      <c r="AE602">
        <v>9</v>
      </c>
    </row>
    <row r="603" spans="1:38" x14ac:dyDescent="0.3">
      <c r="A603">
        <v>308017</v>
      </c>
      <c r="B603" t="s">
        <v>84</v>
      </c>
      <c r="C603" t="s">
        <v>413</v>
      </c>
      <c r="D603">
        <v>2019</v>
      </c>
      <c r="E603" t="s">
        <v>414</v>
      </c>
      <c r="F603" t="s">
        <v>415</v>
      </c>
      <c r="S603">
        <v>0</v>
      </c>
      <c r="T603">
        <v>0</v>
      </c>
      <c r="U603">
        <v>0</v>
      </c>
      <c r="V603">
        <v>9</v>
      </c>
      <c r="W603">
        <v>14</v>
      </c>
      <c r="X603">
        <v>0</v>
      </c>
      <c r="Z603">
        <v>0</v>
      </c>
    </row>
    <row r="604" spans="1:38" x14ac:dyDescent="0.3">
      <c r="A604">
        <v>308017</v>
      </c>
      <c r="B604" t="s">
        <v>84</v>
      </c>
      <c r="C604" t="s">
        <v>413</v>
      </c>
      <c r="D604">
        <v>2020</v>
      </c>
      <c r="E604" t="s">
        <v>414</v>
      </c>
      <c r="F604" t="s">
        <v>415</v>
      </c>
      <c r="S604">
        <v>0</v>
      </c>
      <c r="T604">
        <v>1</v>
      </c>
      <c r="U604">
        <v>0</v>
      </c>
      <c r="V604">
        <v>2</v>
      </c>
      <c r="W604">
        <v>6</v>
      </c>
      <c r="X604">
        <v>0</v>
      </c>
      <c r="Z604">
        <v>0</v>
      </c>
    </row>
    <row r="605" spans="1:38" x14ac:dyDescent="0.3">
      <c r="A605">
        <v>308017</v>
      </c>
      <c r="B605" t="s">
        <v>84</v>
      </c>
      <c r="C605" t="s">
        <v>413</v>
      </c>
      <c r="D605">
        <v>2021</v>
      </c>
      <c r="E605" t="s">
        <v>414</v>
      </c>
      <c r="F605" t="s">
        <v>415</v>
      </c>
      <c r="S605">
        <v>1</v>
      </c>
      <c r="T605">
        <v>1</v>
      </c>
      <c r="U605">
        <v>0</v>
      </c>
      <c r="V605">
        <v>43</v>
      </c>
      <c r="W605">
        <v>74</v>
      </c>
      <c r="X605">
        <v>1</v>
      </c>
      <c r="Z605">
        <v>0</v>
      </c>
    </row>
    <row r="606" spans="1:38" x14ac:dyDescent="0.3">
      <c r="A606">
        <v>308017</v>
      </c>
      <c r="B606" t="s">
        <v>84</v>
      </c>
      <c r="C606" t="s">
        <v>413</v>
      </c>
      <c r="D606">
        <v>2022</v>
      </c>
      <c r="E606" t="s">
        <v>414</v>
      </c>
      <c r="F606" t="s">
        <v>415</v>
      </c>
      <c r="S606">
        <v>0</v>
      </c>
      <c r="T606">
        <v>1</v>
      </c>
      <c r="U606">
        <v>3</v>
      </c>
      <c r="V606">
        <v>58</v>
      </c>
      <c r="W606">
        <v>124</v>
      </c>
      <c r="X606">
        <v>10</v>
      </c>
      <c r="Y606">
        <v>2</v>
      </c>
      <c r="Z606">
        <v>0</v>
      </c>
      <c r="AK606">
        <v>0</v>
      </c>
      <c r="AL606">
        <v>0</v>
      </c>
    </row>
    <row r="607" spans="1:38" x14ac:dyDescent="0.3">
      <c r="A607">
        <v>308041</v>
      </c>
      <c r="B607" t="s">
        <v>46</v>
      </c>
      <c r="C607" t="s">
        <v>416</v>
      </c>
      <c r="D607">
        <v>2018</v>
      </c>
      <c r="E607" t="s">
        <v>67</v>
      </c>
      <c r="F607" t="s">
        <v>68</v>
      </c>
      <c r="M607">
        <v>1</v>
      </c>
      <c r="N607">
        <v>9</v>
      </c>
      <c r="O607">
        <v>0</v>
      </c>
      <c r="P607">
        <v>3</v>
      </c>
      <c r="Q607">
        <v>0</v>
      </c>
      <c r="R607">
        <v>20</v>
      </c>
    </row>
    <row r="608" spans="1:38" x14ac:dyDescent="0.3">
      <c r="A608">
        <v>308041</v>
      </c>
      <c r="B608" t="s">
        <v>46</v>
      </c>
      <c r="C608" t="s">
        <v>416</v>
      </c>
      <c r="D608">
        <v>2019</v>
      </c>
      <c r="E608" t="s">
        <v>67</v>
      </c>
      <c r="F608" t="s">
        <v>68</v>
      </c>
      <c r="P608">
        <v>12</v>
      </c>
      <c r="Q608">
        <v>0</v>
      </c>
      <c r="R608">
        <v>137</v>
      </c>
      <c r="S608">
        <v>0</v>
      </c>
      <c r="T608">
        <v>0</v>
      </c>
      <c r="U608">
        <v>0</v>
      </c>
      <c r="V608">
        <v>2</v>
      </c>
      <c r="W608">
        <v>2</v>
      </c>
      <c r="X608">
        <v>0</v>
      </c>
      <c r="Z608">
        <v>0</v>
      </c>
    </row>
    <row r="609" spans="1:38" x14ac:dyDescent="0.3">
      <c r="A609">
        <v>308041</v>
      </c>
      <c r="B609" t="s">
        <v>46</v>
      </c>
      <c r="C609" t="s">
        <v>416</v>
      </c>
      <c r="D609">
        <v>2020</v>
      </c>
      <c r="E609" t="s">
        <v>148</v>
      </c>
      <c r="F609" t="s">
        <v>149</v>
      </c>
      <c r="P609">
        <v>25</v>
      </c>
      <c r="Q609">
        <v>3</v>
      </c>
      <c r="R609">
        <v>268</v>
      </c>
      <c r="S609">
        <v>0</v>
      </c>
      <c r="T609">
        <v>0</v>
      </c>
      <c r="U609">
        <v>0</v>
      </c>
      <c r="V609">
        <v>4</v>
      </c>
      <c r="W609">
        <v>5</v>
      </c>
      <c r="X609">
        <v>0</v>
      </c>
      <c r="Z609">
        <v>0</v>
      </c>
      <c r="AA609">
        <v>17</v>
      </c>
      <c r="AB609">
        <v>18</v>
      </c>
      <c r="AC609">
        <v>2</v>
      </c>
      <c r="AD609">
        <v>0</v>
      </c>
      <c r="AE609">
        <v>34</v>
      </c>
      <c r="AK609">
        <v>1</v>
      </c>
      <c r="AL609">
        <v>1</v>
      </c>
    </row>
    <row r="610" spans="1:38" x14ac:dyDescent="0.3">
      <c r="A610">
        <v>308041</v>
      </c>
      <c r="B610" t="s">
        <v>46</v>
      </c>
      <c r="C610" t="s">
        <v>416</v>
      </c>
      <c r="D610">
        <v>2021</v>
      </c>
      <c r="E610" t="s">
        <v>148</v>
      </c>
      <c r="F610" t="s">
        <v>149</v>
      </c>
      <c r="P610">
        <v>41</v>
      </c>
      <c r="Q610">
        <v>3</v>
      </c>
      <c r="R610">
        <v>550</v>
      </c>
      <c r="S610">
        <v>0</v>
      </c>
      <c r="T610">
        <v>0</v>
      </c>
      <c r="U610">
        <v>0</v>
      </c>
      <c r="V610">
        <v>3</v>
      </c>
      <c r="W610">
        <v>9</v>
      </c>
      <c r="X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</row>
    <row r="611" spans="1:38" x14ac:dyDescent="0.3">
      <c r="A611">
        <v>308041</v>
      </c>
      <c r="B611" t="s">
        <v>46</v>
      </c>
      <c r="C611" t="s">
        <v>416</v>
      </c>
      <c r="D611">
        <v>2022</v>
      </c>
      <c r="E611" t="s">
        <v>148</v>
      </c>
      <c r="F611" t="s">
        <v>149</v>
      </c>
      <c r="P611">
        <v>29</v>
      </c>
      <c r="Q611">
        <v>2</v>
      </c>
      <c r="R611">
        <v>577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0</v>
      </c>
      <c r="Z611">
        <v>0</v>
      </c>
    </row>
    <row r="612" spans="1:38" x14ac:dyDescent="0.3">
      <c r="A612">
        <v>308112</v>
      </c>
      <c r="B612" t="s">
        <v>76</v>
      </c>
      <c r="C612" t="s">
        <v>417</v>
      </c>
      <c r="D612">
        <v>2018</v>
      </c>
      <c r="E612" t="s">
        <v>418</v>
      </c>
      <c r="F612" t="s">
        <v>419</v>
      </c>
      <c r="M612">
        <v>1</v>
      </c>
      <c r="N612">
        <v>-1</v>
      </c>
      <c r="O612">
        <v>0</v>
      </c>
      <c r="P612">
        <v>1</v>
      </c>
      <c r="Q612">
        <v>0</v>
      </c>
      <c r="R612">
        <v>22</v>
      </c>
    </row>
    <row r="613" spans="1:38" x14ac:dyDescent="0.3">
      <c r="A613">
        <v>308112</v>
      </c>
      <c r="B613" t="s">
        <v>76</v>
      </c>
      <c r="C613" t="s">
        <v>417</v>
      </c>
      <c r="D613">
        <v>2019</v>
      </c>
      <c r="E613" t="s">
        <v>418</v>
      </c>
      <c r="F613" t="s">
        <v>419</v>
      </c>
      <c r="M613">
        <v>6</v>
      </c>
      <c r="N613">
        <v>39</v>
      </c>
      <c r="O613">
        <v>1</v>
      </c>
      <c r="P613">
        <v>36</v>
      </c>
      <c r="Q613">
        <v>3</v>
      </c>
      <c r="R613">
        <v>589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Z613">
        <v>0</v>
      </c>
    </row>
    <row r="614" spans="1:38" x14ac:dyDescent="0.3">
      <c r="A614">
        <v>308112</v>
      </c>
      <c r="B614" t="s">
        <v>76</v>
      </c>
      <c r="C614" t="s">
        <v>417</v>
      </c>
      <c r="D614">
        <v>2020</v>
      </c>
      <c r="E614" t="s">
        <v>418</v>
      </c>
      <c r="F614" t="s">
        <v>419</v>
      </c>
      <c r="M614">
        <v>2</v>
      </c>
      <c r="N614">
        <v>22</v>
      </c>
      <c r="O614">
        <v>0</v>
      </c>
      <c r="P614">
        <v>14</v>
      </c>
      <c r="Q614">
        <v>1</v>
      </c>
      <c r="R614">
        <v>154</v>
      </c>
    </row>
    <row r="615" spans="1:38" x14ac:dyDescent="0.3">
      <c r="A615">
        <v>308112</v>
      </c>
      <c r="B615" t="s">
        <v>76</v>
      </c>
      <c r="C615" t="s">
        <v>417</v>
      </c>
      <c r="D615">
        <v>2021</v>
      </c>
      <c r="E615" t="s">
        <v>418</v>
      </c>
      <c r="F615" t="s">
        <v>419</v>
      </c>
      <c r="M615">
        <v>7</v>
      </c>
      <c r="N615">
        <v>33</v>
      </c>
      <c r="O615">
        <v>1</v>
      </c>
      <c r="P615">
        <v>15</v>
      </c>
      <c r="Q615">
        <v>1</v>
      </c>
      <c r="R615">
        <v>106</v>
      </c>
    </row>
    <row r="616" spans="1:38" x14ac:dyDescent="0.3">
      <c r="A616">
        <v>308112</v>
      </c>
      <c r="B616" t="s">
        <v>76</v>
      </c>
      <c r="C616" t="s">
        <v>417</v>
      </c>
      <c r="D616">
        <v>2022</v>
      </c>
      <c r="E616" t="s">
        <v>420</v>
      </c>
      <c r="F616" t="s">
        <v>421</v>
      </c>
      <c r="M616">
        <v>17</v>
      </c>
      <c r="N616">
        <v>133</v>
      </c>
      <c r="O616">
        <v>0</v>
      </c>
      <c r="P616">
        <v>22</v>
      </c>
      <c r="Q616">
        <v>0</v>
      </c>
      <c r="R616">
        <v>165</v>
      </c>
      <c r="S616">
        <v>0</v>
      </c>
      <c r="T616">
        <v>0</v>
      </c>
      <c r="U616">
        <v>0</v>
      </c>
      <c r="V616">
        <v>2</v>
      </c>
      <c r="W616">
        <v>3</v>
      </c>
      <c r="X616">
        <v>0</v>
      </c>
      <c r="Z616">
        <v>0</v>
      </c>
      <c r="AA616">
        <v>20</v>
      </c>
      <c r="AB616">
        <v>20</v>
      </c>
      <c r="AC616">
        <v>1</v>
      </c>
      <c r="AD616">
        <v>0</v>
      </c>
      <c r="AE616">
        <v>20</v>
      </c>
      <c r="AK616">
        <v>1</v>
      </c>
      <c r="AL616">
        <v>1</v>
      </c>
    </row>
    <row r="617" spans="1:38" x14ac:dyDescent="0.3">
      <c r="A617">
        <v>308112</v>
      </c>
      <c r="B617" t="s">
        <v>76</v>
      </c>
      <c r="C617" t="s">
        <v>417</v>
      </c>
      <c r="D617">
        <v>2023</v>
      </c>
      <c r="E617" t="s">
        <v>420</v>
      </c>
      <c r="F617" t="s">
        <v>421</v>
      </c>
      <c r="M617">
        <v>113</v>
      </c>
      <c r="N617">
        <v>716</v>
      </c>
      <c r="O617">
        <v>8</v>
      </c>
      <c r="P617">
        <v>19</v>
      </c>
      <c r="Q617">
        <v>0</v>
      </c>
      <c r="R617">
        <v>132</v>
      </c>
      <c r="S617">
        <v>0</v>
      </c>
      <c r="T617">
        <v>0</v>
      </c>
      <c r="U617">
        <v>0</v>
      </c>
      <c r="V617">
        <v>3</v>
      </c>
      <c r="W617">
        <v>3</v>
      </c>
      <c r="X617">
        <v>0</v>
      </c>
      <c r="Z617">
        <v>1</v>
      </c>
      <c r="AA617">
        <v>25.5</v>
      </c>
      <c r="AB617">
        <v>98</v>
      </c>
      <c r="AC617">
        <v>16</v>
      </c>
      <c r="AD617">
        <v>1</v>
      </c>
      <c r="AE617">
        <v>408</v>
      </c>
      <c r="AF617">
        <v>4.7</v>
      </c>
      <c r="AG617">
        <v>10</v>
      </c>
      <c r="AH617">
        <v>3</v>
      </c>
      <c r="AI617">
        <v>0</v>
      </c>
      <c r="AJ617">
        <v>14</v>
      </c>
    </row>
    <row r="618" spans="1:38" x14ac:dyDescent="0.3">
      <c r="A618">
        <v>308621</v>
      </c>
      <c r="B618" t="s">
        <v>50</v>
      </c>
      <c r="C618" t="s">
        <v>422</v>
      </c>
      <c r="D618">
        <v>2018</v>
      </c>
      <c r="E618" t="s">
        <v>40</v>
      </c>
      <c r="F618" t="s">
        <v>41</v>
      </c>
      <c r="S618">
        <v>3</v>
      </c>
      <c r="T618">
        <v>0</v>
      </c>
      <c r="U618">
        <v>0</v>
      </c>
      <c r="V618">
        <v>9</v>
      </c>
      <c r="W618">
        <v>9</v>
      </c>
      <c r="X618">
        <v>0</v>
      </c>
      <c r="Z618">
        <v>0</v>
      </c>
      <c r="AA618">
        <v>37.5</v>
      </c>
      <c r="AB618">
        <v>61</v>
      </c>
      <c r="AC618">
        <v>2</v>
      </c>
      <c r="AD618">
        <v>0</v>
      </c>
      <c r="AE618">
        <v>75</v>
      </c>
      <c r="AF618">
        <v>19</v>
      </c>
      <c r="AG618">
        <v>27</v>
      </c>
      <c r="AH618">
        <v>2</v>
      </c>
      <c r="AI618">
        <v>0</v>
      </c>
      <c r="AJ618">
        <v>38</v>
      </c>
    </row>
    <row r="619" spans="1:38" x14ac:dyDescent="0.3">
      <c r="A619">
        <v>308621</v>
      </c>
      <c r="B619" t="s">
        <v>50</v>
      </c>
      <c r="C619" t="s">
        <v>422</v>
      </c>
      <c r="D619">
        <v>2019</v>
      </c>
      <c r="E619" t="s">
        <v>40</v>
      </c>
      <c r="F619" t="s">
        <v>41</v>
      </c>
      <c r="S619">
        <v>2</v>
      </c>
      <c r="T619">
        <v>0</v>
      </c>
      <c r="U619">
        <v>0</v>
      </c>
      <c r="V619">
        <v>16</v>
      </c>
      <c r="W619">
        <v>26</v>
      </c>
      <c r="X619">
        <v>0</v>
      </c>
      <c r="Y619">
        <v>1</v>
      </c>
      <c r="Z619">
        <v>0</v>
      </c>
      <c r="AA619">
        <v>17.3</v>
      </c>
      <c r="AB619">
        <v>21</v>
      </c>
      <c r="AC619">
        <v>3</v>
      </c>
      <c r="AD619">
        <v>0</v>
      </c>
      <c r="AE619">
        <v>52</v>
      </c>
      <c r="AK619">
        <v>1</v>
      </c>
      <c r="AL619">
        <v>1</v>
      </c>
    </row>
    <row r="620" spans="1:38" x14ac:dyDescent="0.3">
      <c r="A620">
        <v>308621</v>
      </c>
      <c r="B620" t="s">
        <v>50</v>
      </c>
      <c r="C620" t="s">
        <v>422</v>
      </c>
      <c r="D620">
        <v>2021</v>
      </c>
      <c r="E620" t="s">
        <v>40</v>
      </c>
      <c r="F620" t="s">
        <v>41</v>
      </c>
      <c r="S620">
        <v>8</v>
      </c>
      <c r="T620">
        <v>0</v>
      </c>
      <c r="U620">
        <v>0</v>
      </c>
      <c r="V620">
        <v>29</v>
      </c>
      <c r="W620">
        <v>41</v>
      </c>
      <c r="X620">
        <v>0</v>
      </c>
      <c r="Y620">
        <v>2</v>
      </c>
      <c r="Z620">
        <v>0</v>
      </c>
      <c r="AA620">
        <v>8.6999999999999993</v>
      </c>
      <c r="AB620">
        <v>18</v>
      </c>
      <c r="AC620">
        <v>6</v>
      </c>
      <c r="AD620">
        <v>0</v>
      </c>
      <c r="AE620">
        <v>52</v>
      </c>
      <c r="AF620">
        <v>7.8</v>
      </c>
      <c r="AG620">
        <v>36</v>
      </c>
      <c r="AH620">
        <v>10</v>
      </c>
      <c r="AI620">
        <v>0</v>
      </c>
      <c r="AJ620">
        <v>78</v>
      </c>
      <c r="AK620">
        <v>0</v>
      </c>
      <c r="AL620">
        <v>0</v>
      </c>
    </row>
    <row r="621" spans="1:38" x14ac:dyDescent="0.3">
      <c r="A621">
        <v>308621</v>
      </c>
      <c r="B621" t="s">
        <v>50</v>
      </c>
      <c r="C621" t="s">
        <v>422</v>
      </c>
      <c r="D621">
        <v>2022</v>
      </c>
      <c r="E621" t="s">
        <v>40</v>
      </c>
      <c r="F621" t="s">
        <v>41</v>
      </c>
      <c r="M621">
        <v>1</v>
      </c>
      <c r="N621">
        <v>6</v>
      </c>
      <c r="O621">
        <v>0</v>
      </c>
      <c r="S621">
        <v>14</v>
      </c>
      <c r="T621">
        <v>0</v>
      </c>
      <c r="U621">
        <v>0</v>
      </c>
      <c r="V621">
        <v>17</v>
      </c>
      <c r="W621">
        <v>27</v>
      </c>
      <c r="X621">
        <v>1</v>
      </c>
      <c r="Z621">
        <v>0</v>
      </c>
      <c r="AA621">
        <v>15</v>
      </c>
      <c r="AB621">
        <v>23</v>
      </c>
      <c r="AC621">
        <v>3</v>
      </c>
      <c r="AD621">
        <v>0</v>
      </c>
      <c r="AE621">
        <v>45</v>
      </c>
      <c r="AF621">
        <v>5.0999999999999996</v>
      </c>
      <c r="AG621">
        <v>29</v>
      </c>
      <c r="AH621">
        <v>10</v>
      </c>
      <c r="AI621">
        <v>0</v>
      </c>
      <c r="AJ621">
        <v>51</v>
      </c>
      <c r="AK621">
        <v>3</v>
      </c>
      <c r="AL621">
        <v>2</v>
      </c>
    </row>
    <row r="622" spans="1:38" x14ac:dyDescent="0.3">
      <c r="A622">
        <v>309075</v>
      </c>
      <c r="B622" t="s">
        <v>46</v>
      </c>
      <c r="C622" t="s">
        <v>423</v>
      </c>
      <c r="D622">
        <v>2018</v>
      </c>
      <c r="E622" t="s">
        <v>424</v>
      </c>
      <c r="F622" t="s">
        <v>425</v>
      </c>
      <c r="S622">
        <v>0</v>
      </c>
      <c r="T622">
        <v>1</v>
      </c>
      <c r="U622">
        <v>0</v>
      </c>
      <c r="V622">
        <v>1</v>
      </c>
      <c r="W622">
        <v>3</v>
      </c>
      <c r="X622">
        <v>0.5</v>
      </c>
      <c r="Z622">
        <v>0</v>
      </c>
    </row>
    <row r="623" spans="1:38" x14ac:dyDescent="0.3">
      <c r="A623">
        <v>309075</v>
      </c>
      <c r="B623" t="s">
        <v>46</v>
      </c>
      <c r="C623" t="s">
        <v>423</v>
      </c>
      <c r="D623">
        <v>2021</v>
      </c>
      <c r="E623" t="s">
        <v>426</v>
      </c>
      <c r="F623" t="s">
        <v>427</v>
      </c>
      <c r="S623">
        <v>1</v>
      </c>
      <c r="T623">
        <v>0</v>
      </c>
      <c r="U623">
        <v>0</v>
      </c>
      <c r="V623">
        <v>2</v>
      </c>
      <c r="W623">
        <v>5</v>
      </c>
      <c r="X623">
        <v>0</v>
      </c>
      <c r="Z623">
        <v>0</v>
      </c>
    </row>
    <row r="624" spans="1:38" x14ac:dyDescent="0.3">
      <c r="A624">
        <v>309075</v>
      </c>
      <c r="B624" t="s">
        <v>46</v>
      </c>
      <c r="C624" t="s">
        <v>423</v>
      </c>
      <c r="D624">
        <v>2022</v>
      </c>
      <c r="E624" t="s">
        <v>426</v>
      </c>
      <c r="F624" t="s">
        <v>427</v>
      </c>
      <c r="S624">
        <v>0</v>
      </c>
      <c r="T624">
        <v>0</v>
      </c>
      <c r="U624">
        <v>0</v>
      </c>
      <c r="V624">
        <v>1</v>
      </c>
      <c r="W624">
        <v>3</v>
      </c>
      <c r="X624">
        <v>0</v>
      </c>
      <c r="Y624">
        <v>1</v>
      </c>
      <c r="Z624">
        <v>0</v>
      </c>
    </row>
    <row r="625" spans="1:38" x14ac:dyDescent="0.3">
      <c r="A625">
        <v>309261</v>
      </c>
      <c r="B625" t="s">
        <v>38</v>
      </c>
      <c r="C625" t="s">
        <v>428</v>
      </c>
      <c r="D625">
        <v>2020</v>
      </c>
      <c r="E625" t="s">
        <v>429</v>
      </c>
      <c r="F625" t="s">
        <v>430</v>
      </c>
      <c r="S625">
        <v>0</v>
      </c>
      <c r="T625">
        <v>0</v>
      </c>
      <c r="U625">
        <v>0</v>
      </c>
      <c r="V625">
        <v>3</v>
      </c>
      <c r="W625">
        <v>7</v>
      </c>
      <c r="X625">
        <v>1.5</v>
      </c>
      <c r="Z625">
        <v>0</v>
      </c>
    </row>
    <row r="626" spans="1:38" x14ac:dyDescent="0.3">
      <c r="A626">
        <v>309261</v>
      </c>
      <c r="B626" t="s">
        <v>38</v>
      </c>
      <c r="C626" t="s">
        <v>428</v>
      </c>
      <c r="D626">
        <v>2021</v>
      </c>
      <c r="E626" t="s">
        <v>345</v>
      </c>
      <c r="F626" t="s">
        <v>346</v>
      </c>
      <c r="S626">
        <v>1</v>
      </c>
      <c r="T626">
        <v>1</v>
      </c>
      <c r="U626">
        <v>2.5</v>
      </c>
      <c r="V626">
        <v>12</v>
      </c>
      <c r="W626">
        <v>31</v>
      </c>
      <c r="X626">
        <v>4.5</v>
      </c>
      <c r="Z626">
        <v>0</v>
      </c>
      <c r="AK626">
        <v>0</v>
      </c>
      <c r="AL626">
        <v>0</v>
      </c>
    </row>
    <row r="627" spans="1:38" x14ac:dyDescent="0.3">
      <c r="A627">
        <v>309261</v>
      </c>
      <c r="B627" t="s">
        <v>38</v>
      </c>
      <c r="C627" t="s">
        <v>428</v>
      </c>
      <c r="D627">
        <v>2022</v>
      </c>
      <c r="E627" t="s">
        <v>345</v>
      </c>
      <c r="F627" t="s">
        <v>346</v>
      </c>
      <c r="S627">
        <v>1</v>
      </c>
      <c r="T627">
        <v>7</v>
      </c>
      <c r="U627">
        <v>1.5</v>
      </c>
      <c r="V627">
        <v>15</v>
      </c>
      <c r="W627">
        <v>30</v>
      </c>
      <c r="X627">
        <v>1.5</v>
      </c>
      <c r="Z627">
        <v>0</v>
      </c>
    </row>
    <row r="628" spans="1:38" x14ac:dyDescent="0.3">
      <c r="A628">
        <v>309289</v>
      </c>
      <c r="B628" t="s">
        <v>178</v>
      </c>
      <c r="C628" t="s">
        <v>431</v>
      </c>
      <c r="D628">
        <v>2018</v>
      </c>
      <c r="E628" t="s">
        <v>432</v>
      </c>
      <c r="F628" t="s">
        <v>433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0</v>
      </c>
      <c r="Z628">
        <v>0</v>
      </c>
    </row>
    <row r="629" spans="1:38" x14ac:dyDescent="0.3">
      <c r="A629">
        <v>309289</v>
      </c>
      <c r="B629" t="s">
        <v>178</v>
      </c>
      <c r="C629" t="s">
        <v>431</v>
      </c>
      <c r="D629">
        <v>2021</v>
      </c>
      <c r="E629" t="s">
        <v>432</v>
      </c>
      <c r="F629" t="s">
        <v>433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0</v>
      </c>
      <c r="Z629">
        <v>0</v>
      </c>
    </row>
    <row r="630" spans="1:38" x14ac:dyDescent="0.3">
      <c r="A630">
        <v>309574</v>
      </c>
      <c r="B630" t="s">
        <v>46</v>
      </c>
      <c r="C630" t="s">
        <v>434</v>
      </c>
      <c r="D630">
        <v>2022</v>
      </c>
      <c r="E630" t="s">
        <v>435</v>
      </c>
      <c r="F630" t="s">
        <v>436</v>
      </c>
      <c r="P630">
        <v>20</v>
      </c>
      <c r="Q630">
        <v>5</v>
      </c>
      <c r="R630">
        <v>384</v>
      </c>
    </row>
    <row r="631" spans="1:38" x14ac:dyDescent="0.3">
      <c r="A631">
        <v>309574</v>
      </c>
      <c r="B631" t="s">
        <v>46</v>
      </c>
      <c r="C631" t="s">
        <v>434</v>
      </c>
      <c r="D631">
        <v>2023</v>
      </c>
      <c r="E631" t="s">
        <v>435</v>
      </c>
      <c r="F631" t="s">
        <v>436</v>
      </c>
      <c r="P631">
        <v>34</v>
      </c>
      <c r="Q631">
        <v>6</v>
      </c>
      <c r="R631">
        <v>519</v>
      </c>
      <c r="AK631">
        <v>1</v>
      </c>
      <c r="AL631">
        <v>0</v>
      </c>
    </row>
    <row r="632" spans="1:38" x14ac:dyDescent="0.3">
      <c r="A632">
        <v>310013</v>
      </c>
      <c r="B632" t="s">
        <v>42</v>
      </c>
      <c r="C632" t="s">
        <v>437</v>
      </c>
      <c r="D632">
        <v>2018</v>
      </c>
      <c r="E632" t="s">
        <v>64</v>
      </c>
      <c r="F632" t="s">
        <v>65</v>
      </c>
      <c r="S632">
        <v>0</v>
      </c>
      <c r="T632">
        <v>0</v>
      </c>
      <c r="U632">
        <v>0</v>
      </c>
      <c r="V632">
        <v>8</v>
      </c>
      <c r="W632">
        <v>14</v>
      </c>
      <c r="X632">
        <v>0.5</v>
      </c>
      <c r="Z632">
        <v>0</v>
      </c>
      <c r="AK632">
        <v>0</v>
      </c>
      <c r="AL632">
        <v>0</v>
      </c>
    </row>
    <row r="633" spans="1:38" x14ac:dyDescent="0.3">
      <c r="A633">
        <v>310013</v>
      </c>
      <c r="B633" t="s">
        <v>42</v>
      </c>
      <c r="C633" t="s">
        <v>437</v>
      </c>
      <c r="D633">
        <v>2019</v>
      </c>
      <c r="E633" t="s">
        <v>64</v>
      </c>
      <c r="F633" t="s">
        <v>65</v>
      </c>
      <c r="S633">
        <v>3</v>
      </c>
      <c r="T633">
        <v>0</v>
      </c>
      <c r="U633">
        <v>0</v>
      </c>
      <c r="V633">
        <v>19</v>
      </c>
      <c r="W633">
        <v>25</v>
      </c>
      <c r="X633">
        <v>0</v>
      </c>
      <c r="Z633">
        <v>0</v>
      </c>
      <c r="AK633">
        <v>0</v>
      </c>
      <c r="AL633">
        <v>0</v>
      </c>
    </row>
    <row r="634" spans="1:38" x14ac:dyDescent="0.3">
      <c r="A634">
        <v>310013</v>
      </c>
      <c r="B634" t="s">
        <v>42</v>
      </c>
      <c r="C634" t="s">
        <v>437</v>
      </c>
      <c r="D634">
        <v>2021</v>
      </c>
      <c r="E634" t="s">
        <v>64</v>
      </c>
      <c r="F634" t="s">
        <v>65</v>
      </c>
      <c r="S634">
        <v>4</v>
      </c>
      <c r="T634">
        <v>1</v>
      </c>
      <c r="U634">
        <v>0</v>
      </c>
      <c r="V634">
        <v>28</v>
      </c>
      <c r="W634">
        <v>67</v>
      </c>
      <c r="X634">
        <v>2</v>
      </c>
      <c r="Z634">
        <v>0</v>
      </c>
    </row>
    <row r="635" spans="1:38" x14ac:dyDescent="0.3">
      <c r="A635">
        <v>310013</v>
      </c>
      <c r="B635" t="s">
        <v>42</v>
      </c>
      <c r="C635" t="s">
        <v>437</v>
      </c>
      <c r="D635">
        <v>2022</v>
      </c>
      <c r="E635" t="s">
        <v>64</v>
      </c>
      <c r="F635" t="s">
        <v>65</v>
      </c>
      <c r="S635">
        <v>2</v>
      </c>
      <c r="T635">
        <v>1</v>
      </c>
      <c r="U635">
        <v>0.5</v>
      </c>
      <c r="V635">
        <v>47</v>
      </c>
      <c r="W635">
        <v>76</v>
      </c>
      <c r="X635">
        <v>6.5</v>
      </c>
      <c r="Z635">
        <v>0</v>
      </c>
      <c r="AK635">
        <v>0</v>
      </c>
      <c r="AL635">
        <v>0</v>
      </c>
    </row>
    <row r="636" spans="1:38" x14ac:dyDescent="0.3">
      <c r="A636">
        <v>310224</v>
      </c>
      <c r="B636" t="s">
        <v>54</v>
      </c>
      <c r="C636" t="s">
        <v>438</v>
      </c>
      <c r="D636">
        <v>2019</v>
      </c>
      <c r="E636" t="s">
        <v>439</v>
      </c>
      <c r="F636" t="s">
        <v>440</v>
      </c>
      <c r="G636">
        <v>35</v>
      </c>
      <c r="H636">
        <v>20</v>
      </c>
      <c r="I636">
        <v>221</v>
      </c>
      <c r="J636">
        <v>0.57099999999999995</v>
      </c>
      <c r="K636">
        <v>1</v>
      </c>
      <c r="L636">
        <v>2</v>
      </c>
      <c r="M636">
        <v>4</v>
      </c>
      <c r="N636">
        <v>-7</v>
      </c>
      <c r="O636">
        <v>0</v>
      </c>
    </row>
    <row r="637" spans="1:38" x14ac:dyDescent="0.3">
      <c r="A637">
        <v>310224</v>
      </c>
      <c r="B637" t="s">
        <v>54</v>
      </c>
      <c r="C637" t="s">
        <v>438</v>
      </c>
      <c r="D637">
        <v>2021</v>
      </c>
      <c r="E637" t="s">
        <v>439</v>
      </c>
      <c r="F637" t="s">
        <v>440</v>
      </c>
      <c r="G637">
        <v>69</v>
      </c>
      <c r="H637">
        <v>33</v>
      </c>
      <c r="I637">
        <v>373</v>
      </c>
      <c r="J637">
        <v>0.47799999999999998</v>
      </c>
      <c r="K637">
        <v>3</v>
      </c>
      <c r="L637">
        <v>5</v>
      </c>
      <c r="M637">
        <v>6</v>
      </c>
      <c r="N637">
        <v>-3</v>
      </c>
      <c r="O637">
        <v>0</v>
      </c>
      <c r="AK637">
        <v>4</v>
      </c>
      <c r="AL637">
        <v>3</v>
      </c>
    </row>
    <row r="638" spans="1:38" x14ac:dyDescent="0.3">
      <c r="A638">
        <v>310224</v>
      </c>
      <c r="B638" t="s">
        <v>54</v>
      </c>
      <c r="C638" t="s">
        <v>438</v>
      </c>
      <c r="D638">
        <v>2022</v>
      </c>
      <c r="E638" t="s">
        <v>439</v>
      </c>
      <c r="F638" t="s">
        <v>440</v>
      </c>
      <c r="G638">
        <v>499</v>
      </c>
      <c r="H638">
        <v>326</v>
      </c>
      <c r="I638">
        <v>4891</v>
      </c>
      <c r="J638">
        <v>0.65300000000000002</v>
      </c>
      <c r="K638">
        <v>56</v>
      </c>
      <c r="L638">
        <v>10</v>
      </c>
      <c r="M638">
        <v>56</v>
      </c>
      <c r="N638">
        <v>48</v>
      </c>
      <c r="O638">
        <v>5</v>
      </c>
      <c r="P638">
        <v>2</v>
      </c>
      <c r="Q638">
        <v>0</v>
      </c>
      <c r="R638">
        <v>16</v>
      </c>
      <c r="AK638">
        <v>4</v>
      </c>
      <c r="AL638">
        <v>0</v>
      </c>
    </row>
    <row r="639" spans="1:38" x14ac:dyDescent="0.3">
      <c r="A639">
        <v>310262</v>
      </c>
      <c r="B639" t="s">
        <v>50</v>
      </c>
      <c r="C639" t="s">
        <v>441</v>
      </c>
      <c r="D639">
        <v>2018</v>
      </c>
      <c r="E639" t="s">
        <v>442</v>
      </c>
      <c r="F639" t="s">
        <v>443</v>
      </c>
      <c r="S639">
        <v>4</v>
      </c>
      <c r="T639">
        <v>0</v>
      </c>
      <c r="U639">
        <v>0</v>
      </c>
      <c r="V639">
        <v>13</v>
      </c>
      <c r="W639">
        <v>24</v>
      </c>
      <c r="X639">
        <v>0</v>
      </c>
      <c r="Y639">
        <v>1</v>
      </c>
      <c r="Z639">
        <v>0</v>
      </c>
    </row>
    <row r="640" spans="1:38" x14ac:dyDescent="0.3">
      <c r="A640">
        <v>310262</v>
      </c>
      <c r="B640" t="s">
        <v>50</v>
      </c>
      <c r="C640" t="s">
        <v>441</v>
      </c>
      <c r="D640">
        <v>2019</v>
      </c>
      <c r="E640" t="s">
        <v>442</v>
      </c>
      <c r="F640" t="s">
        <v>443</v>
      </c>
      <c r="S640">
        <v>1</v>
      </c>
      <c r="T640">
        <v>0</v>
      </c>
      <c r="U640">
        <v>0</v>
      </c>
      <c r="V640">
        <v>16</v>
      </c>
      <c r="W640">
        <v>30</v>
      </c>
      <c r="X640">
        <v>0</v>
      </c>
      <c r="Y640">
        <v>1</v>
      </c>
      <c r="Z640">
        <v>0</v>
      </c>
    </row>
    <row r="641" spans="1:38" x14ac:dyDescent="0.3">
      <c r="A641">
        <v>310262</v>
      </c>
      <c r="B641" t="s">
        <v>50</v>
      </c>
      <c r="C641" t="s">
        <v>441</v>
      </c>
      <c r="D641">
        <v>2021</v>
      </c>
      <c r="E641" t="s">
        <v>444</v>
      </c>
      <c r="F641" t="s">
        <v>445</v>
      </c>
      <c r="S641">
        <v>4</v>
      </c>
      <c r="T641">
        <v>0</v>
      </c>
      <c r="U641">
        <v>1</v>
      </c>
      <c r="V641">
        <v>17</v>
      </c>
      <c r="W641">
        <v>24</v>
      </c>
      <c r="X641">
        <v>1.5</v>
      </c>
      <c r="Y641">
        <v>1</v>
      </c>
      <c r="Z641">
        <v>0</v>
      </c>
    </row>
    <row r="642" spans="1:38" x14ac:dyDescent="0.3">
      <c r="A642">
        <v>310262</v>
      </c>
      <c r="B642" t="s">
        <v>50</v>
      </c>
      <c r="C642" t="s">
        <v>441</v>
      </c>
      <c r="D642">
        <v>2022</v>
      </c>
      <c r="E642" t="s">
        <v>444</v>
      </c>
      <c r="F642" t="s">
        <v>445</v>
      </c>
      <c r="S642">
        <v>7</v>
      </c>
      <c r="T642">
        <v>0</v>
      </c>
      <c r="U642">
        <v>1</v>
      </c>
      <c r="V642">
        <v>31</v>
      </c>
      <c r="W642">
        <v>46</v>
      </c>
      <c r="X642">
        <v>1.5</v>
      </c>
      <c r="Y642">
        <v>2</v>
      </c>
      <c r="Z642">
        <v>0</v>
      </c>
    </row>
    <row r="643" spans="1:38" x14ac:dyDescent="0.3">
      <c r="A643">
        <v>310271</v>
      </c>
      <c r="B643" t="s">
        <v>142</v>
      </c>
      <c r="C643" t="s">
        <v>446</v>
      </c>
      <c r="D643">
        <v>2018</v>
      </c>
      <c r="E643" t="s">
        <v>133</v>
      </c>
      <c r="F643" t="s">
        <v>134</v>
      </c>
      <c r="P643">
        <v>1</v>
      </c>
      <c r="Q643">
        <v>0</v>
      </c>
      <c r="R643">
        <v>5</v>
      </c>
      <c r="AA643">
        <v>14</v>
      </c>
      <c r="AB643">
        <v>14</v>
      </c>
      <c r="AC643">
        <v>1</v>
      </c>
      <c r="AD643">
        <v>0</v>
      </c>
      <c r="AE643">
        <v>14</v>
      </c>
    </row>
    <row r="644" spans="1:38" x14ac:dyDescent="0.3">
      <c r="A644">
        <v>310271</v>
      </c>
      <c r="B644" t="s">
        <v>142</v>
      </c>
      <c r="C644" t="s">
        <v>446</v>
      </c>
      <c r="D644">
        <v>2019</v>
      </c>
      <c r="E644" t="s">
        <v>133</v>
      </c>
      <c r="F644" t="s">
        <v>134</v>
      </c>
      <c r="P644">
        <v>1</v>
      </c>
      <c r="Q644">
        <v>0</v>
      </c>
      <c r="R644">
        <v>7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0</v>
      </c>
      <c r="Z644">
        <v>0</v>
      </c>
    </row>
    <row r="645" spans="1:38" x14ac:dyDescent="0.3">
      <c r="A645">
        <v>310271</v>
      </c>
      <c r="B645" t="s">
        <v>142</v>
      </c>
      <c r="C645" t="s">
        <v>446</v>
      </c>
      <c r="D645">
        <v>2020</v>
      </c>
      <c r="E645" t="s">
        <v>133</v>
      </c>
      <c r="F645" t="s">
        <v>134</v>
      </c>
      <c r="P645">
        <v>5</v>
      </c>
      <c r="Q645">
        <v>0</v>
      </c>
      <c r="R645">
        <v>50</v>
      </c>
      <c r="S645">
        <v>0</v>
      </c>
      <c r="T645">
        <v>0</v>
      </c>
      <c r="U645">
        <v>0</v>
      </c>
      <c r="V645">
        <v>1</v>
      </c>
      <c r="W645">
        <v>1</v>
      </c>
      <c r="X645">
        <v>0</v>
      </c>
      <c r="Z645">
        <v>0</v>
      </c>
    </row>
    <row r="646" spans="1:38" x14ac:dyDescent="0.3">
      <c r="A646">
        <v>310271</v>
      </c>
      <c r="B646" t="s">
        <v>142</v>
      </c>
      <c r="C646" t="s">
        <v>446</v>
      </c>
      <c r="D646">
        <v>2021</v>
      </c>
      <c r="E646" t="s">
        <v>133</v>
      </c>
      <c r="F646" t="s">
        <v>134</v>
      </c>
      <c r="M646">
        <v>1</v>
      </c>
      <c r="N646">
        <v>0</v>
      </c>
      <c r="O646">
        <v>0</v>
      </c>
      <c r="P646">
        <v>31</v>
      </c>
      <c r="Q646">
        <v>6</v>
      </c>
      <c r="R646">
        <v>367</v>
      </c>
    </row>
    <row r="647" spans="1:38" x14ac:dyDescent="0.3">
      <c r="A647">
        <v>310271</v>
      </c>
      <c r="B647" t="s">
        <v>142</v>
      </c>
      <c r="C647" t="s">
        <v>446</v>
      </c>
      <c r="D647">
        <v>2022</v>
      </c>
      <c r="E647" t="s">
        <v>133</v>
      </c>
      <c r="F647" t="s">
        <v>134</v>
      </c>
      <c r="M647">
        <v>3</v>
      </c>
      <c r="N647">
        <v>1</v>
      </c>
      <c r="O647">
        <v>0</v>
      </c>
      <c r="P647">
        <v>44</v>
      </c>
      <c r="Q647">
        <v>6</v>
      </c>
      <c r="R647">
        <v>445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Z647">
        <v>0</v>
      </c>
      <c r="AK647">
        <v>1</v>
      </c>
      <c r="AL647">
        <v>1</v>
      </c>
    </row>
    <row r="648" spans="1:38" x14ac:dyDescent="0.3">
      <c r="A648">
        <v>310313</v>
      </c>
      <c r="B648" t="s">
        <v>142</v>
      </c>
      <c r="C648" t="s">
        <v>447</v>
      </c>
      <c r="D648">
        <v>2018</v>
      </c>
      <c r="E648" t="s">
        <v>373</v>
      </c>
      <c r="F648" t="s">
        <v>374</v>
      </c>
      <c r="P648">
        <v>3</v>
      </c>
      <c r="Q648">
        <v>0</v>
      </c>
      <c r="R648">
        <v>31</v>
      </c>
      <c r="AA648">
        <v>9</v>
      </c>
      <c r="AB648">
        <v>9</v>
      </c>
      <c r="AC648">
        <v>1</v>
      </c>
      <c r="AD648">
        <v>0</v>
      </c>
      <c r="AE648">
        <v>9</v>
      </c>
    </row>
    <row r="649" spans="1:38" x14ac:dyDescent="0.3">
      <c r="A649">
        <v>310313</v>
      </c>
      <c r="B649" t="s">
        <v>142</v>
      </c>
      <c r="C649" t="s">
        <v>447</v>
      </c>
      <c r="D649">
        <v>2019</v>
      </c>
      <c r="E649" t="s">
        <v>373</v>
      </c>
      <c r="F649" t="s">
        <v>374</v>
      </c>
      <c r="P649">
        <v>4</v>
      </c>
      <c r="Q649">
        <v>1</v>
      </c>
      <c r="R649">
        <v>37</v>
      </c>
      <c r="AA649">
        <v>13</v>
      </c>
      <c r="AB649">
        <v>13</v>
      </c>
      <c r="AC649">
        <v>1</v>
      </c>
      <c r="AD649">
        <v>0</v>
      </c>
      <c r="AE649">
        <v>13</v>
      </c>
    </row>
    <row r="650" spans="1:38" x14ac:dyDescent="0.3">
      <c r="A650">
        <v>310313</v>
      </c>
      <c r="B650" t="s">
        <v>142</v>
      </c>
      <c r="C650" t="s">
        <v>447</v>
      </c>
      <c r="D650">
        <v>2020</v>
      </c>
      <c r="E650" t="s">
        <v>373</v>
      </c>
      <c r="F650" t="s">
        <v>374</v>
      </c>
      <c r="P650">
        <v>16</v>
      </c>
      <c r="Q650">
        <v>1</v>
      </c>
      <c r="R650">
        <v>191</v>
      </c>
      <c r="S650">
        <v>0</v>
      </c>
      <c r="T650">
        <v>0</v>
      </c>
      <c r="U650">
        <v>0</v>
      </c>
      <c r="V650">
        <v>1</v>
      </c>
      <c r="W650">
        <v>2</v>
      </c>
      <c r="X650">
        <v>0</v>
      </c>
      <c r="Z650">
        <v>0</v>
      </c>
    </row>
    <row r="651" spans="1:38" x14ac:dyDescent="0.3">
      <c r="A651">
        <v>310313</v>
      </c>
      <c r="B651" t="s">
        <v>142</v>
      </c>
      <c r="C651" t="s">
        <v>447</v>
      </c>
      <c r="D651">
        <v>2021</v>
      </c>
      <c r="E651" t="s">
        <v>373</v>
      </c>
      <c r="F651" t="s">
        <v>374</v>
      </c>
      <c r="P651">
        <v>28</v>
      </c>
      <c r="Q651">
        <v>4</v>
      </c>
      <c r="R651">
        <v>268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Z651">
        <v>0</v>
      </c>
    </row>
    <row r="652" spans="1:38" x14ac:dyDescent="0.3">
      <c r="A652">
        <v>310313</v>
      </c>
      <c r="B652" t="s">
        <v>142</v>
      </c>
      <c r="C652" t="s">
        <v>447</v>
      </c>
      <c r="D652">
        <v>2022</v>
      </c>
      <c r="E652" t="s">
        <v>373</v>
      </c>
      <c r="F652" t="s">
        <v>374</v>
      </c>
      <c r="M652">
        <v>1</v>
      </c>
      <c r="N652">
        <v>10</v>
      </c>
      <c r="O652">
        <v>0</v>
      </c>
      <c r="P652">
        <v>18</v>
      </c>
      <c r="Q652">
        <v>2</v>
      </c>
      <c r="R652">
        <v>170</v>
      </c>
    </row>
    <row r="653" spans="1:38" x14ac:dyDescent="0.3">
      <c r="A653">
        <v>310529</v>
      </c>
      <c r="B653" t="s">
        <v>46</v>
      </c>
      <c r="C653" t="s">
        <v>448</v>
      </c>
      <c r="D653">
        <v>2019</v>
      </c>
      <c r="E653" t="s">
        <v>449</v>
      </c>
      <c r="F653" t="s">
        <v>450</v>
      </c>
      <c r="P653">
        <v>8</v>
      </c>
      <c r="Q653">
        <v>2</v>
      </c>
      <c r="R653">
        <v>144</v>
      </c>
    </row>
    <row r="654" spans="1:38" x14ac:dyDescent="0.3">
      <c r="A654">
        <v>310529</v>
      </c>
      <c r="B654" t="s">
        <v>46</v>
      </c>
      <c r="C654" t="s">
        <v>448</v>
      </c>
      <c r="D654">
        <v>2021</v>
      </c>
      <c r="E654" t="s">
        <v>449</v>
      </c>
      <c r="F654" t="s">
        <v>450</v>
      </c>
      <c r="P654">
        <v>5</v>
      </c>
      <c r="Q654">
        <v>1</v>
      </c>
      <c r="R654">
        <v>68</v>
      </c>
    </row>
    <row r="655" spans="1:38" x14ac:dyDescent="0.3">
      <c r="A655">
        <v>310529</v>
      </c>
      <c r="B655" t="s">
        <v>46</v>
      </c>
      <c r="C655" t="s">
        <v>448</v>
      </c>
      <c r="D655">
        <v>2022</v>
      </c>
      <c r="E655" t="s">
        <v>449</v>
      </c>
      <c r="F655" t="s">
        <v>450</v>
      </c>
      <c r="M655">
        <v>2</v>
      </c>
      <c r="N655">
        <v>0</v>
      </c>
      <c r="O655">
        <v>0</v>
      </c>
      <c r="P655">
        <v>49</v>
      </c>
      <c r="Q655">
        <v>10</v>
      </c>
      <c r="R655">
        <v>855</v>
      </c>
    </row>
    <row r="656" spans="1:38" x14ac:dyDescent="0.3">
      <c r="A656">
        <v>310537</v>
      </c>
      <c r="B656" t="s">
        <v>50</v>
      </c>
      <c r="C656" t="s">
        <v>451</v>
      </c>
      <c r="D656">
        <v>2022</v>
      </c>
      <c r="E656" t="s">
        <v>184</v>
      </c>
      <c r="F656" t="s">
        <v>185</v>
      </c>
      <c r="S656">
        <v>1</v>
      </c>
      <c r="T656">
        <v>0</v>
      </c>
      <c r="U656">
        <v>0</v>
      </c>
      <c r="V656">
        <v>33</v>
      </c>
      <c r="W656">
        <v>47</v>
      </c>
      <c r="X656">
        <v>0</v>
      </c>
      <c r="Y656">
        <v>1</v>
      </c>
      <c r="Z656">
        <v>0</v>
      </c>
    </row>
    <row r="657" spans="1:38" x14ac:dyDescent="0.3">
      <c r="A657">
        <v>310537</v>
      </c>
      <c r="B657" t="s">
        <v>50</v>
      </c>
      <c r="C657" t="s">
        <v>451</v>
      </c>
      <c r="D657">
        <v>2023</v>
      </c>
      <c r="E657" t="s">
        <v>184</v>
      </c>
      <c r="F657" t="s">
        <v>185</v>
      </c>
      <c r="S657">
        <v>5</v>
      </c>
      <c r="T657">
        <v>0</v>
      </c>
      <c r="U657">
        <v>0</v>
      </c>
      <c r="V657">
        <v>37</v>
      </c>
      <c r="W657">
        <v>58</v>
      </c>
      <c r="X657">
        <v>1</v>
      </c>
      <c r="Y657">
        <v>1</v>
      </c>
      <c r="Z657">
        <v>0</v>
      </c>
    </row>
    <row r="658" spans="1:38" x14ac:dyDescent="0.3">
      <c r="A658">
        <v>310566</v>
      </c>
      <c r="B658" t="s">
        <v>178</v>
      </c>
      <c r="C658" t="s">
        <v>452</v>
      </c>
      <c r="D658">
        <v>2018</v>
      </c>
      <c r="E658" t="s">
        <v>345</v>
      </c>
      <c r="F658" t="s">
        <v>346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Z658">
        <v>0</v>
      </c>
    </row>
    <row r="659" spans="1:38" x14ac:dyDescent="0.3">
      <c r="A659">
        <v>312167</v>
      </c>
      <c r="B659" t="s">
        <v>38</v>
      </c>
      <c r="C659" t="s">
        <v>453</v>
      </c>
      <c r="D659">
        <v>2021</v>
      </c>
      <c r="E659" t="s">
        <v>454</v>
      </c>
      <c r="F659" t="s">
        <v>455</v>
      </c>
      <c r="S659">
        <v>0</v>
      </c>
      <c r="T659">
        <v>0</v>
      </c>
      <c r="U659">
        <v>0</v>
      </c>
      <c r="V659">
        <v>0</v>
      </c>
      <c r="W659">
        <v>2</v>
      </c>
      <c r="X659">
        <v>0</v>
      </c>
      <c r="Z659">
        <v>0</v>
      </c>
    </row>
    <row r="660" spans="1:38" x14ac:dyDescent="0.3">
      <c r="A660">
        <v>312167</v>
      </c>
      <c r="B660" t="s">
        <v>38</v>
      </c>
      <c r="C660" t="s">
        <v>453</v>
      </c>
      <c r="D660">
        <v>2022</v>
      </c>
      <c r="E660" t="s">
        <v>454</v>
      </c>
      <c r="F660" t="s">
        <v>455</v>
      </c>
      <c r="S660">
        <v>0</v>
      </c>
      <c r="T660">
        <v>0</v>
      </c>
      <c r="U660">
        <v>0</v>
      </c>
      <c r="V660">
        <v>3</v>
      </c>
      <c r="W660">
        <v>5</v>
      </c>
      <c r="X660">
        <v>0</v>
      </c>
      <c r="Z660">
        <v>0</v>
      </c>
    </row>
    <row r="661" spans="1:38" x14ac:dyDescent="0.3">
      <c r="A661">
        <v>312167</v>
      </c>
      <c r="B661" t="s">
        <v>38</v>
      </c>
      <c r="C661" t="s">
        <v>453</v>
      </c>
      <c r="D661">
        <v>2023</v>
      </c>
      <c r="E661" t="s">
        <v>454</v>
      </c>
      <c r="F661" t="s">
        <v>455</v>
      </c>
      <c r="S661">
        <v>0</v>
      </c>
      <c r="T661">
        <v>0</v>
      </c>
      <c r="U661">
        <v>0</v>
      </c>
      <c r="V661">
        <v>0</v>
      </c>
      <c r="W661">
        <v>3</v>
      </c>
      <c r="X661">
        <v>0</v>
      </c>
      <c r="Z661">
        <v>0</v>
      </c>
    </row>
    <row r="662" spans="1:38" x14ac:dyDescent="0.3">
      <c r="A662">
        <v>312931</v>
      </c>
      <c r="B662" t="s">
        <v>178</v>
      </c>
      <c r="C662" t="s">
        <v>456</v>
      </c>
      <c r="D662">
        <v>2018</v>
      </c>
      <c r="E662" t="s">
        <v>152</v>
      </c>
      <c r="F662" t="s">
        <v>153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</v>
      </c>
      <c r="Z662">
        <v>0</v>
      </c>
    </row>
    <row r="663" spans="1:38" x14ac:dyDescent="0.3">
      <c r="A663">
        <v>312931</v>
      </c>
      <c r="B663" t="s">
        <v>178</v>
      </c>
      <c r="C663" t="s">
        <v>456</v>
      </c>
      <c r="D663">
        <v>2023</v>
      </c>
      <c r="E663" t="s">
        <v>152</v>
      </c>
      <c r="F663" t="s">
        <v>153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Z663">
        <v>0</v>
      </c>
    </row>
    <row r="664" spans="1:38" x14ac:dyDescent="0.3">
      <c r="A664">
        <v>312958</v>
      </c>
      <c r="B664" t="s">
        <v>76</v>
      </c>
      <c r="C664" t="s">
        <v>457</v>
      </c>
      <c r="D664">
        <v>2019</v>
      </c>
      <c r="E664" t="s">
        <v>458</v>
      </c>
      <c r="F664" t="s">
        <v>459</v>
      </c>
      <c r="M664">
        <v>1</v>
      </c>
      <c r="N664">
        <v>1</v>
      </c>
      <c r="O664">
        <v>0</v>
      </c>
      <c r="P664">
        <v>1</v>
      </c>
      <c r="Q664">
        <v>0</v>
      </c>
      <c r="R664">
        <v>3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0</v>
      </c>
      <c r="Z664">
        <v>0</v>
      </c>
      <c r="AA664">
        <v>0</v>
      </c>
      <c r="AB664">
        <v>49</v>
      </c>
      <c r="AC664">
        <v>0</v>
      </c>
      <c r="AD664">
        <v>0</v>
      </c>
      <c r="AE664">
        <v>49</v>
      </c>
    </row>
    <row r="665" spans="1:38" x14ac:dyDescent="0.3">
      <c r="A665">
        <v>312958</v>
      </c>
      <c r="B665" t="s">
        <v>76</v>
      </c>
      <c r="C665" t="s">
        <v>457</v>
      </c>
      <c r="D665">
        <v>2020</v>
      </c>
      <c r="E665" t="s">
        <v>458</v>
      </c>
      <c r="F665" t="s">
        <v>459</v>
      </c>
      <c r="M665">
        <v>11</v>
      </c>
      <c r="N665">
        <v>36</v>
      </c>
      <c r="O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Z665">
        <v>0</v>
      </c>
    </row>
    <row r="666" spans="1:38" x14ac:dyDescent="0.3">
      <c r="A666">
        <v>312958</v>
      </c>
      <c r="B666" t="s">
        <v>76</v>
      </c>
      <c r="C666" t="s">
        <v>457</v>
      </c>
      <c r="D666">
        <v>2021</v>
      </c>
      <c r="E666" t="s">
        <v>458</v>
      </c>
      <c r="F666" t="s">
        <v>459</v>
      </c>
      <c r="M666">
        <v>23</v>
      </c>
      <c r="N666">
        <v>160</v>
      </c>
      <c r="O666">
        <v>1</v>
      </c>
      <c r="P666">
        <v>2</v>
      </c>
      <c r="Q666">
        <v>0</v>
      </c>
      <c r="R666">
        <v>6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0</v>
      </c>
      <c r="Z666">
        <v>0</v>
      </c>
    </row>
    <row r="667" spans="1:38" x14ac:dyDescent="0.3">
      <c r="A667">
        <v>312958</v>
      </c>
      <c r="B667" t="s">
        <v>76</v>
      </c>
      <c r="C667" t="s">
        <v>457</v>
      </c>
      <c r="D667">
        <v>2022</v>
      </c>
      <c r="E667" t="s">
        <v>458</v>
      </c>
      <c r="F667" t="s">
        <v>459</v>
      </c>
      <c r="M667">
        <v>65</v>
      </c>
      <c r="N667">
        <v>390</v>
      </c>
      <c r="O667">
        <v>5</v>
      </c>
      <c r="P667">
        <v>17</v>
      </c>
      <c r="Q667">
        <v>1</v>
      </c>
      <c r="R667">
        <v>115</v>
      </c>
      <c r="S667">
        <v>0</v>
      </c>
      <c r="T667">
        <v>0</v>
      </c>
      <c r="U667">
        <v>0</v>
      </c>
      <c r="V667">
        <v>2</v>
      </c>
      <c r="W667">
        <v>2</v>
      </c>
      <c r="X667">
        <v>0</v>
      </c>
      <c r="Z667">
        <v>0</v>
      </c>
      <c r="AA667">
        <v>22.7</v>
      </c>
      <c r="AB667">
        <v>50</v>
      </c>
      <c r="AC667">
        <v>20</v>
      </c>
      <c r="AD667">
        <v>0</v>
      </c>
      <c r="AE667">
        <v>454</v>
      </c>
      <c r="AK667">
        <v>2</v>
      </c>
      <c r="AL667">
        <v>1</v>
      </c>
    </row>
    <row r="668" spans="1:38" x14ac:dyDescent="0.3">
      <c r="A668">
        <v>312958</v>
      </c>
      <c r="B668" t="s">
        <v>76</v>
      </c>
      <c r="C668" t="s">
        <v>457</v>
      </c>
      <c r="D668">
        <v>2023</v>
      </c>
      <c r="E668" t="s">
        <v>411</v>
      </c>
      <c r="F668" t="s">
        <v>412</v>
      </c>
      <c r="M668">
        <v>132</v>
      </c>
      <c r="N668">
        <v>810</v>
      </c>
      <c r="O668">
        <v>11</v>
      </c>
      <c r="P668">
        <v>22</v>
      </c>
      <c r="Q668">
        <v>0</v>
      </c>
      <c r="R668">
        <v>234</v>
      </c>
      <c r="AA668">
        <v>19.2</v>
      </c>
      <c r="AB668">
        <v>48</v>
      </c>
      <c r="AC668">
        <v>11</v>
      </c>
      <c r="AD668">
        <v>0</v>
      </c>
      <c r="AE668">
        <v>211</v>
      </c>
      <c r="AK668">
        <v>2</v>
      </c>
      <c r="AL668">
        <v>0</v>
      </c>
    </row>
    <row r="669" spans="1:38" x14ac:dyDescent="0.3">
      <c r="A669">
        <v>312986</v>
      </c>
      <c r="B669" t="s">
        <v>69</v>
      </c>
      <c r="C669" t="s">
        <v>460</v>
      </c>
      <c r="D669">
        <v>2021</v>
      </c>
      <c r="E669" t="s">
        <v>461</v>
      </c>
      <c r="F669" t="s">
        <v>462</v>
      </c>
      <c r="AK669">
        <v>0</v>
      </c>
      <c r="AL669">
        <v>0</v>
      </c>
    </row>
    <row r="670" spans="1:38" x14ac:dyDescent="0.3">
      <c r="A670">
        <v>313041</v>
      </c>
      <c r="B670" t="s">
        <v>69</v>
      </c>
      <c r="C670" t="s">
        <v>463</v>
      </c>
      <c r="D670">
        <v>2019</v>
      </c>
      <c r="E670" t="s">
        <v>464</v>
      </c>
      <c r="F670" t="s">
        <v>465</v>
      </c>
      <c r="S670">
        <v>0</v>
      </c>
      <c r="T670">
        <v>0</v>
      </c>
      <c r="U670">
        <v>0</v>
      </c>
      <c r="V670">
        <v>8</v>
      </c>
      <c r="W670">
        <v>11</v>
      </c>
      <c r="X670">
        <v>0</v>
      </c>
      <c r="Z670">
        <v>0</v>
      </c>
    </row>
    <row r="671" spans="1:38" x14ac:dyDescent="0.3">
      <c r="A671">
        <v>313041</v>
      </c>
      <c r="B671" t="s">
        <v>69</v>
      </c>
      <c r="C671" t="s">
        <v>463</v>
      </c>
      <c r="D671">
        <v>2021</v>
      </c>
      <c r="E671" t="s">
        <v>464</v>
      </c>
      <c r="F671" t="s">
        <v>465</v>
      </c>
      <c r="S671">
        <v>1</v>
      </c>
      <c r="T671">
        <v>1</v>
      </c>
      <c r="U671">
        <v>1</v>
      </c>
      <c r="V671">
        <v>5</v>
      </c>
      <c r="W671">
        <v>5</v>
      </c>
      <c r="X671">
        <v>1</v>
      </c>
      <c r="Z671">
        <v>0</v>
      </c>
    </row>
    <row r="672" spans="1:38" x14ac:dyDescent="0.3">
      <c r="A672">
        <v>313041</v>
      </c>
      <c r="B672" t="s">
        <v>69</v>
      </c>
      <c r="C672" t="s">
        <v>463</v>
      </c>
      <c r="D672">
        <v>2022</v>
      </c>
      <c r="E672" t="s">
        <v>464</v>
      </c>
      <c r="F672" t="s">
        <v>465</v>
      </c>
      <c r="S672">
        <v>0</v>
      </c>
      <c r="T672">
        <v>0</v>
      </c>
      <c r="U672">
        <v>0</v>
      </c>
      <c r="V672">
        <v>2</v>
      </c>
      <c r="W672">
        <v>4</v>
      </c>
      <c r="X672">
        <v>0</v>
      </c>
      <c r="Z672">
        <v>0</v>
      </c>
      <c r="AK672">
        <v>0</v>
      </c>
      <c r="AL672">
        <v>0</v>
      </c>
    </row>
    <row r="673" spans="1:38" x14ac:dyDescent="0.3">
      <c r="A673">
        <v>314613</v>
      </c>
      <c r="B673" t="s">
        <v>46</v>
      </c>
      <c r="C673" t="s">
        <v>466</v>
      </c>
      <c r="D673">
        <v>2019</v>
      </c>
      <c r="E673" t="s">
        <v>467</v>
      </c>
      <c r="F673" t="s">
        <v>468</v>
      </c>
      <c r="P673">
        <v>2</v>
      </c>
      <c r="Q673">
        <v>0</v>
      </c>
      <c r="R673">
        <v>20</v>
      </c>
    </row>
    <row r="674" spans="1:38" x14ac:dyDescent="0.3">
      <c r="A674">
        <v>314613</v>
      </c>
      <c r="B674" t="s">
        <v>46</v>
      </c>
      <c r="C674" t="s">
        <v>466</v>
      </c>
      <c r="D674">
        <v>2021</v>
      </c>
      <c r="E674" t="s">
        <v>467</v>
      </c>
      <c r="F674" t="s">
        <v>468</v>
      </c>
      <c r="P674">
        <v>3</v>
      </c>
      <c r="Q674">
        <v>0</v>
      </c>
      <c r="R674">
        <v>58</v>
      </c>
      <c r="AK674">
        <v>3</v>
      </c>
      <c r="AL674">
        <v>1</v>
      </c>
    </row>
    <row r="675" spans="1:38" x14ac:dyDescent="0.3">
      <c r="A675">
        <v>314613</v>
      </c>
      <c r="B675" t="s">
        <v>46</v>
      </c>
      <c r="C675" t="s">
        <v>466</v>
      </c>
      <c r="D675">
        <v>2022</v>
      </c>
      <c r="E675" t="s">
        <v>467</v>
      </c>
      <c r="F675" t="s">
        <v>468</v>
      </c>
      <c r="M675">
        <v>1</v>
      </c>
      <c r="N675">
        <v>14</v>
      </c>
      <c r="O675">
        <v>0</v>
      </c>
      <c r="P675">
        <v>51</v>
      </c>
      <c r="Q675">
        <v>8</v>
      </c>
      <c r="R675">
        <v>737</v>
      </c>
      <c r="AF675">
        <v>8</v>
      </c>
      <c r="AG675">
        <v>8</v>
      </c>
      <c r="AH675">
        <v>1</v>
      </c>
      <c r="AI675">
        <v>0</v>
      </c>
      <c r="AJ675">
        <v>8</v>
      </c>
    </row>
    <row r="676" spans="1:38" x14ac:dyDescent="0.3">
      <c r="A676">
        <v>314613</v>
      </c>
      <c r="B676" t="s">
        <v>46</v>
      </c>
      <c r="C676" t="s">
        <v>466</v>
      </c>
      <c r="D676">
        <v>2023</v>
      </c>
      <c r="E676" t="s">
        <v>467</v>
      </c>
      <c r="F676" t="s">
        <v>468</v>
      </c>
      <c r="G676">
        <v>1</v>
      </c>
      <c r="H676">
        <v>1</v>
      </c>
      <c r="I676">
        <v>2</v>
      </c>
      <c r="J676">
        <v>1</v>
      </c>
      <c r="K676">
        <v>0</v>
      </c>
      <c r="L676">
        <v>0</v>
      </c>
      <c r="M676">
        <v>2</v>
      </c>
      <c r="N676">
        <v>34</v>
      </c>
      <c r="O676">
        <v>0</v>
      </c>
      <c r="P676">
        <v>48</v>
      </c>
      <c r="Q676">
        <v>5</v>
      </c>
      <c r="R676">
        <v>777</v>
      </c>
    </row>
    <row r="677" spans="1:38" x14ac:dyDescent="0.3">
      <c r="A677">
        <v>314806</v>
      </c>
      <c r="B677" t="s">
        <v>69</v>
      </c>
      <c r="C677" t="s">
        <v>469</v>
      </c>
      <c r="D677">
        <v>2018</v>
      </c>
      <c r="E677" t="s">
        <v>396</v>
      </c>
      <c r="F677" t="s">
        <v>397</v>
      </c>
      <c r="S677">
        <v>0</v>
      </c>
      <c r="T677">
        <v>0</v>
      </c>
      <c r="U677">
        <v>0</v>
      </c>
      <c r="V677">
        <v>2</v>
      </c>
      <c r="W677">
        <v>5</v>
      </c>
      <c r="X677">
        <v>0</v>
      </c>
      <c r="Z677">
        <v>0</v>
      </c>
    </row>
    <row r="678" spans="1:38" x14ac:dyDescent="0.3">
      <c r="A678">
        <v>314806</v>
      </c>
      <c r="B678" t="s">
        <v>69</v>
      </c>
      <c r="C678" t="s">
        <v>469</v>
      </c>
      <c r="D678">
        <v>2019</v>
      </c>
      <c r="E678" t="s">
        <v>396</v>
      </c>
      <c r="F678" t="s">
        <v>397</v>
      </c>
      <c r="S678">
        <v>4</v>
      </c>
      <c r="T678">
        <v>2</v>
      </c>
      <c r="U678">
        <v>1</v>
      </c>
      <c r="V678">
        <v>16</v>
      </c>
      <c r="W678">
        <v>44</v>
      </c>
      <c r="X678">
        <v>3</v>
      </c>
      <c r="Z678">
        <v>0</v>
      </c>
    </row>
    <row r="679" spans="1:38" x14ac:dyDescent="0.3">
      <c r="A679">
        <v>314806</v>
      </c>
      <c r="B679" t="s">
        <v>69</v>
      </c>
      <c r="C679" t="s">
        <v>469</v>
      </c>
      <c r="D679">
        <v>2020</v>
      </c>
      <c r="E679" t="s">
        <v>396</v>
      </c>
      <c r="F679" t="s">
        <v>397</v>
      </c>
      <c r="S679">
        <v>1</v>
      </c>
      <c r="T679">
        <v>2</v>
      </c>
      <c r="U679">
        <v>6</v>
      </c>
      <c r="V679">
        <v>23</v>
      </c>
      <c r="W679">
        <v>36</v>
      </c>
      <c r="X679">
        <v>12.5</v>
      </c>
      <c r="Z679">
        <v>0</v>
      </c>
      <c r="AK679">
        <v>0</v>
      </c>
      <c r="AL679">
        <v>0</v>
      </c>
    </row>
    <row r="680" spans="1:38" x14ac:dyDescent="0.3">
      <c r="A680">
        <v>314806</v>
      </c>
      <c r="B680" t="s">
        <v>69</v>
      </c>
      <c r="C680" t="s">
        <v>469</v>
      </c>
      <c r="D680">
        <v>2021</v>
      </c>
      <c r="E680" t="s">
        <v>396</v>
      </c>
      <c r="F680" t="s">
        <v>397</v>
      </c>
      <c r="S680">
        <v>6</v>
      </c>
      <c r="T680">
        <v>5</v>
      </c>
      <c r="U680">
        <v>7</v>
      </c>
      <c r="V680">
        <v>21</v>
      </c>
      <c r="W680">
        <v>37</v>
      </c>
      <c r="X680">
        <v>12.5</v>
      </c>
      <c r="Z680">
        <v>0</v>
      </c>
    </row>
    <row r="681" spans="1:38" x14ac:dyDescent="0.3">
      <c r="A681">
        <v>314806</v>
      </c>
      <c r="B681" t="s">
        <v>69</v>
      </c>
      <c r="C681" t="s">
        <v>469</v>
      </c>
      <c r="D681">
        <v>2022</v>
      </c>
      <c r="E681" t="s">
        <v>396</v>
      </c>
      <c r="F681" t="s">
        <v>397</v>
      </c>
      <c r="S681">
        <v>1</v>
      </c>
      <c r="T681">
        <v>6</v>
      </c>
      <c r="U681">
        <v>10</v>
      </c>
      <c r="V681">
        <v>40</v>
      </c>
      <c r="W681">
        <v>64</v>
      </c>
      <c r="X681">
        <v>18.5</v>
      </c>
      <c r="Z681">
        <v>0</v>
      </c>
      <c r="AK681">
        <v>0</v>
      </c>
      <c r="AL681">
        <v>0</v>
      </c>
    </row>
    <row r="682" spans="1:38" x14ac:dyDescent="0.3">
      <c r="A682">
        <v>314829</v>
      </c>
      <c r="B682" t="s">
        <v>142</v>
      </c>
      <c r="C682" t="s">
        <v>470</v>
      </c>
      <c r="D682">
        <v>2018</v>
      </c>
      <c r="E682" t="s">
        <v>331</v>
      </c>
      <c r="F682" t="s">
        <v>332</v>
      </c>
      <c r="P682">
        <v>1</v>
      </c>
      <c r="Q682">
        <v>0</v>
      </c>
      <c r="R682">
        <v>15</v>
      </c>
    </row>
    <row r="683" spans="1:38" x14ac:dyDescent="0.3">
      <c r="A683">
        <v>314829</v>
      </c>
      <c r="B683" t="s">
        <v>142</v>
      </c>
      <c r="C683" t="s">
        <v>470</v>
      </c>
      <c r="D683">
        <v>2021</v>
      </c>
      <c r="E683" t="s">
        <v>471</v>
      </c>
      <c r="F683" t="s">
        <v>472</v>
      </c>
      <c r="P683">
        <v>4</v>
      </c>
      <c r="Q683">
        <v>1</v>
      </c>
      <c r="R683">
        <v>44</v>
      </c>
    </row>
    <row r="684" spans="1:38" x14ac:dyDescent="0.3">
      <c r="A684">
        <v>314829</v>
      </c>
      <c r="B684" t="s">
        <v>142</v>
      </c>
      <c r="C684" t="s">
        <v>470</v>
      </c>
      <c r="D684">
        <v>2022</v>
      </c>
      <c r="E684" t="s">
        <v>471</v>
      </c>
      <c r="F684" t="s">
        <v>472</v>
      </c>
      <c r="P684">
        <v>30</v>
      </c>
      <c r="Q684">
        <v>2</v>
      </c>
      <c r="R684">
        <v>347</v>
      </c>
      <c r="AA684">
        <v>4</v>
      </c>
      <c r="AB684">
        <v>4</v>
      </c>
      <c r="AC684">
        <v>1</v>
      </c>
      <c r="AD684">
        <v>0</v>
      </c>
      <c r="AE684">
        <v>4</v>
      </c>
    </row>
    <row r="685" spans="1:38" x14ac:dyDescent="0.3">
      <c r="A685">
        <v>314829</v>
      </c>
      <c r="B685" t="s">
        <v>142</v>
      </c>
      <c r="C685" t="s">
        <v>470</v>
      </c>
      <c r="D685">
        <v>2023</v>
      </c>
      <c r="E685" t="s">
        <v>171</v>
      </c>
      <c r="F685" t="s">
        <v>172</v>
      </c>
      <c r="P685">
        <v>22</v>
      </c>
      <c r="Q685">
        <v>5</v>
      </c>
      <c r="R685">
        <v>283</v>
      </c>
    </row>
    <row r="686" spans="1:38" x14ac:dyDescent="0.3">
      <c r="A686">
        <v>314838</v>
      </c>
      <c r="B686" t="s">
        <v>84</v>
      </c>
      <c r="C686" t="s">
        <v>473</v>
      </c>
      <c r="D686">
        <v>2019</v>
      </c>
      <c r="E686" t="s">
        <v>327</v>
      </c>
      <c r="F686" t="s">
        <v>328</v>
      </c>
      <c r="S686">
        <v>0</v>
      </c>
      <c r="T686">
        <v>2</v>
      </c>
      <c r="U686">
        <v>3.5</v>
      </c>
      <c r="V686">
        <v>39</v>
      </c>
      <c r="W686">
        <v>68</v>
      </c>
      <c r="X686">
        <v>6.5</v>
      </c>
      <c r="Y686">
        <v>1</v>
      </c>
      <c r="Z686">
        <v>0</v>
      </c>
      <c r="AK686">
        <v>0</v>
      </c>
      <c r="AL686">
        <v>0</v>
      </c>
    </row>
    <row r="687" spans="1:38" x14ac:dyDescent="0.3">
      <c r="A687">
        <v>314838</v>
      </c>
      <c r="B687" t="s">
        <v>84</v>
      </c>
      <c r="C687" t="s">
        <v>473</v>
      </c>
      <c r="D687">
        <v>2020</v>
      </c>
      <c r="E687" t="s">
        <v>327</v>
      </c>
      <c r="F687" t="s">
        <v>328</v>
      </c>
      <c r="S687">
        <v>0</v>
      </c>
      <c r="T687">
        <v>3</v>
      </c>
      <c r="U687">
        <v>3</v>
      </c>
      <c r="V687">
        <v>49</v>
      </c>
      <c r="W687">
        <v>79</v>
      </c>
      <c r="X687">
        <v>8.5</v>
      </c>
      <c r="Z687">
        <v>0</v>
      </c>
      <c r="AK687">
        <v>0</v>
      </c>
      <c r="AL687">
        <v>0</v>
      </c>
    </row>
    <row r="688" spans="1:38" x14ac:dyDescent="0.3">
      <c r="A688">
        <v>314838</v>
      </c>
      <c r="B688" t="s">
        <v>84</v>
      </c>
      <c r="C688" t="s">
        <v>473</v>
      </c>
      <c r="D688">
        <v>2021</v>
      </c>
      <c r="E688" t="s">
        <v>327</v>
      </c>
      <c r="F688" t="s">
        <v>328</v>
      </c>
      <c r="S688">
        <v>1</v>
      </c>
      <c r="T688">
        <v>5</v>
      </c>
      <c r="U688">
        <v>3</v>
      </c>
      <c r="V688">
        <v>37</v>
      </c>
      <c r="W688">
        <v>97</v>
      </c>
      <c r="X688">
        <v>10.5</v>
      </c>
      <c r="Y688">
        <v>1</v>
      </c>
      <c r="Z688">
        <v>0</v>
      </c>
    </row>
    <row r="689" spans="1:38" x14ac:dyDescent="0.3">
      <c r="A689">
        <v>314838</v>
      </c>
      <c r="B689" t="s">
        <v>84</v>
      </c>
      <c r="C689" t="s">
        <v>473</v>
      </c>
      <c r="D689">
        <v>2022</v>
      </c>
      <c r="E689" t="s">
        <v>327</v>
      </c>
      <c r="F689" t="s">
        <v>328</v>
      </c>
      <c r="S689">
        <v>6</v>
      </c>
      <c r="T689">
        <v>1</v>
      </c>
      <c r="U689">
        <v>2</v>
      </c>
      <c r="V689">
        <v>48</v>
      </c>
      <c r="W689">
        <v>93</v>
      </c>
      <c r="X689">
        <v>6</v>
      </c>
      <c r="Y689">
        <v>2</v>
      </c>
      <c r="Z689">
        <v>0</v>
      </c>
      <c r="AK689">
        <v>0</v>
      </c>
      <c r="AL689">
        <v>0</v>
      </c>
    </row>
    <row r="690" spans="1:38" x14ac:dyDescent="0.3">
      <c r="A690">
        <v>315830</v>
      </c>
      <c r="B690" t="s">
        <v>50</v>
      </c>
      <c r="C690" t="s">
        <v>474</v>
      </c>
      <c r="D690">
        <v>2018</v>
      </c>
      <c r="E690" t="s">
        <v>345</v>
      </c>
      <c r="F690" t="s">
        <v>346</v>
      </c>
      <c r="P690">
        <v>1</v>
      </c>
      <c r="Q690">
        <v>0</v>
      </c>
      <c r="R690">
        <v>-2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0</v>
      </c>
      <c r="Z690">
        <v>0</v>
      </c>
    </row>
    <row r="691" spans="1:38" x14ac:dyDescent="0.3">
      <c r="A691">
        <v>315830</v>
      </c>
      <c r="B691" t="s">
        <v>50</v>
      </c>
      <c r="C691" t="s">
        <v>474</v>
      </c>
      <c r="D691">
        <v>2019</v>
      </c>
      <c r="E691" t="s">
        <v>345</v>
      </c>
      <c r="F691" t="s">
        <v>346</v>
      </c>
      <c r="S691">
        <v>1</v>
      </c>
      <c r="T691">
        <v>0</v>
      </c>
      <c r="U691">
        <v>0</v>
      </c>
      <c r="V691">
        <v>11</v>
      </c>
      <c r="W691">
        <v>16</v>
      </c>
      <c r="X691">
        <v>0</v>
      </c>
      <c r="Z691">
        <v>0</v>
      </c>
    </row>
    <row r="692" spans="1:38" x14ac:dyDescent="0.3">
      <c r="A692">
        <v>315830</v>
      </c>
      <c r="B692" t="s">
        <v>50</v>
      </c>
      <c r="C692" t="s">
        <v>474</v>
      </c>
      <c r="D692">
        <v>2020</v>
      </c>
      <c r="E692" t="s">
        <v>345</v>
      </c>
      <c r="F692" t="s">
        <v>346</v>
      </c>
      <c r="S692">
        <v>4</v>
      </c>
      <c r="T692">
        <v>0</v>
      </c>
      <c r="U692">
        <v>0</v>
      </c>
      <c r="V692">
        <v>13</v>
      </c>
      <c r="W692">
        <v>14</v>
      </c>
      <c r="X692">
        <v>2</v>
      </c>
      <c r="Z692">
        <v>0</v>
      </c>
      <c r="AA692">
        <v>30.8</v>
      </c>
      <c r="AB692">
        <v>43</v>
      </c>
      <c r="AC692">
        <v>4</v>
      </c>
      <c r="AD692">
        <v>0</v>
      </c>
      <c r="AE692">
        <v>123</v>
      </c>
    </row>
    <row r="693" spans="1:38" x14ac:dyDescent="0.3">
      <c r="A693">
        <v>315830</v>
      </c>
      <c r="B693" t="s">
        <v>50</v>
      </c>
      <c r="C693" t="s">
        <v>474</v>
      </c>
      <c r="D693">
        <v>2021</v>
      </c>
      <c r="E693" t="s">
        <v>345</v>
      </c>
      <c r="F693" t="s">
        <v>346</v>
      </c>
      <c r="S693">
        <v>4</v>
      </c>
      <c r="T693">
        <v>0</v>
      </c>
      <c r="U693">
        <v>0</v>
      </c>
      <c r="V693">
        <v>33</v>
      </c>
      <c r="W693">
        <v>42</v>
      </c>
      <c r="X693">
        <v>6.5</v>
      </c>
      <c r="Y693">
        <v>3</v>
      </c>
      <c r="Z693">
        <v>1</v>
      </c>
      <c r="AA693">
        <v>21.1</v>
      </c>
      <c r="AB693">
        <v>48</v>
      </c>
      <c r="AC693">
        <v>32</v>
      </c>
      <c r="AD693">
        <v>0</v>
      </c>
      <c r="AE693">
        <v>676</v>
      </c>
    </row>
    <row r="694" spans="1:38" x14ac:dyDescent="0.3">
      <c r="A694">
        <v>315830</v>
      </c>
      <c r="B694" t="s">
        <v>50</v>
      </c>
      <c r="C694" t="s">
        <v>474</v>
      </c>
      <c r="D694">
        <v>2022</v>
      </c>
      <c r="E694" t="s">
        <v>52</v>
      </c>
      <c r="F694" t="s">
        <v>53</v>
      </c>
      <c r="S694">
        <v>1</v>
      </c>
      <c r="T694">
        <v>0</v>
      </c>
      <c r="U694">
        <v>1</v>
      </c>
      <c r="V694">
        <v>20</v>
      </c>
      <c r="W694">
        <v>28</v>
      </c>
      <c r="X694">
        <v>1</v>
      </c>
      <c r="Z694">
        <v>0</v>
      </c>
    </row>
    <row r="695" spans="1:38" x14ac:dyDescent="0.3">
      <c r="A695">
        <v>315830</v>
      </c>
      <c r="B695" t="s">
        <v>50</v>
      </c>
      <c r="C695" t="s">
        <v>474</v>
      </c>
      <c r="D695">
        <v>2023</v>
      </c>
      <c r="E695" t="s">
        <v>98</v>
      </c>
      <c r="F695" t="s">
        <v>99</v>
      </c>
      <c r="S695">
        <v>20</v>
      </c>
      <c r="T695">
        <v>0</v>
      </c>
      <c r="U695">
        <v>0</v>
      </c>
      <c r="V695">
        <v>54</v>
      </c>
      <c r="W695">
        <v>67</v>
      </c>
      <c r="X695">
        <v>0.5</v>
      </c>
      <c r="Y695">
        <v>4</v>
      </c>
      <c r="Z695">
        <v>1</v>
      </c>
      <c r="AA695">
        <v>17.3</v>
      </c>
      <c r="AB695">
        <v>20</v>
      </c>
      <c r="AC695">
        <v>4</v>
      </c>
      <c r="AD695">
        <v>0</v>
      </c>
      <c r="AE695">
        <v>69</v>
      </c>
      <c r="AF695">
        <v>41</v>
      </c>
      <c r="AG695">
        <v>78</v>
      </c>
      <c r="AH695">
        <v>2</v>
      </c>
      <c r="AI695">
        <v>1</v>
      </c>
      <c r="AJ695">
        <v>82</v>
      </c>
    </row>
    <row r="696" spans="1:38" x14ac:dyDescent="0.3">
      <c r="A696">
        <v>315836</v>
      </c>
      <c r="B696" t="s">
        <v>100</v>
      </c>
      <c r="C696" t="s">
        <v>475</v>
      </c>
      <c r="D696">
        <v>2020</v>
      </c>
      <c r="E696" t="s">
        <v>476</v>
      </c>
      <c r="F696" t="s">
        <v>477</v>
      </c>
      <c r="P696">
        <v>0</v>
      </c>
      <c r="Q696">
        <v>0</v>
      </c>
      <c r="R696">
        <v>4</v>
      </c>
      <c r="AK696">
        <v>1</v>
      </c>
      <c r="AL696">
        <v>1</v>
      </c>
    </row>
    <row r="697" spans="1:38" x14ac:dyDescent="0.3">
      <c r="A697">
        <v>315836</v>
      </c>
      <c r="B697" t="s">
        <v>100</v>
      </c>
      <c r="C697" t="s">
        <v>475</v>
      </c>
      <c r="D697">
        <v>2021</v>
      </c>
      <c r="E697" t="s">
        <v>476</v>
      </c>
      <c r="F697" t="s">
        <v>477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0</v>
      </c>
      <c r="Z697">
        <v>0</v>
      </c>
    </row>
    <row r="698" spans="1:38" x14ac:dyDescent="0.3">
      <c r="A698">
        <v>316832</v>
      </c>
      <c r="B698" t="s">
        <v>100</v>
      </c>
      <c r="C698" t="s">
        <v>478</v>
      </c>
      <c r="D698">
        <v>2019</v>
      </c>
      <c r="E698" t="s">
        <v>363</v>
      </c>
      <c r="F698" t="s">
        <v>364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Z698">
        <v>0</v>
      </c>
    </row>
    <row r="699" spans="1:38" x14ac:dyDescent="0.3">
      <c r="A699">
        <v>316832</v>
      </c>
      <c r="B699" t="s">
        <v>100</v>
      </c>
      <c r="C699" t="s">
        <v>478</v>
      </c>
      <c r="D699">
        <v>2022</v>
      </c>
      <c r="E699" t="s">
        <v>479</v>
      </c>
      <c r="F699" t="s">
        <v>480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Z699">
        <v>0</v>
      </c>
    </row>
    <row r="700" spans="1:38" x14ac:dyDescent="0.3">
      <c r="A700">
        <v>316838</v>
      </c>
      <c r="B700" t="s">
        <v>142</v>
      </c>
      <c r="C700" t="s">
        <v>481</v>
      </c>
      <c r="D700">
        <v>2020</v>
      </c>
      <c r="E700" t="s">
        <v>316</v>
      </c>
      <c r="F700" t="s">
        <v>317</v>
      </c>
      <c r="P700">
        <v>5</v>
      </c>
      <c r="Q700">
        <v>0</v>
      </c>
      <c r="R700">
        <v>61</v>
      </c>
      <c r="S700">
        <v>0</v>
      </c>
      <c r="T700">
        <v>0</v>
      </c>
      <c r="U700">
        <v>0</v>
      </c>
      <c r="V700">
        <v>1</v>
      </c>
      <c r="W700">
        <v>1</v>
      </c>
      <c r="X700">
        <v>1</v>
      </c>
      <c r="Z700">
        <v>0</v>
      </c>
    </row>
    <row r="701" spans="1:38" x14ac:dyDescent="0.3">
      <c r="A701">
        <v>316838</v>
      </c>
      <c r="B701" t="s">
        <v>142</v>
      </c>
      <c r="C701" t="s">
        <v>481</v>
      </c>
      <c r="D701">
        <v>2021</v>
      </c>
      <c r="E701" t="s">
        <v>316</v>
      </c>
      <c r="F701" t="s">
        <v>317</v>
      </c>
      <c r="P701">
        <v>15</v>
      </c>
      <c r="Q701">
        <v>3</v>
      </c>
      <c r="R701">
        <v>185</v>
      </c>
      <c r="S701">
        <v>0</v>
      </c>
      <c r="T701">
        <v>0</v>
      </c>
      <c r="U701">
        <v>0</v>
      </c>
      <c r="V701">
        <v>3</v>
      </c>
      <c r="W701">
        <v>3</v>
      </c>
      <c r="X701">
        <v>0</v>
      </c>
      <c r="Z701">
        <v>0</v>
      </c>
      <c r="AA701">
        <v>10</v>
      </c>
      <c r="AB701">
        <v>10</v>
      </c>
      <c r="AC701">
        <v>1</v>
      </c>
      <c r="AD701">
        <v>0</v>
      </c>
      <c r="AE701">
        <v>10</v>
      </c>
    </row>
    <row r="702" spans="1:38" x14ac:dyDescent="0.3">
      <c r="A702">
        <v>316838</v>
      </c>
      <c r="B702" t="s">
        <v>142</v>
      </c>
      <c r="C702" t="s">
        <v>481</v>
      </c>
      <c r="D702">
        <v>2022</v>
      </c>
      <c r="E702" t="s">
        <v>316</v>
      </c>
      <c r="F702" t="s">
        <v>317</v>
      </c>
      <c r="P702">
        <v>24</v>
      </c>
      <c r="Q702">
        <v>3</v>
      </c>
      <c r="R702">
        <v>295</v>
      </c>
      <c r="S702">
        <v>0</v>
      </c>
      <c r="T702">
        <v>0</v>
      </c>
      <c r="U702">
        <v>0</v>
      </c>
      <c r="V702">
        <v>2</v>
      </c>
      <c r="W702">
        <v>2</v>
      </c>
      <c r="X702">
        <v>0</v>
      </c>
      <c r="Z702">
        <v>0</v>
      </c>
    </row>
    <row r="703" spans="1:38" x14ac:dyDescent="0.3">
      <c r="A703">
        <v>316846</v>
      </c>
      <c r="B703" t="s">
        <v>38</v>
      </c>
      <c r="C703" t="s">
        <v>482</v>
      </c>
      <c r="D703">
        <v>2018</v>
      </c>
      <c r="E703" t="s">
        <v>303</v>
      </c>
      <c r="F703" t="s">
        <v>304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Z703">
        <v>0</v>
      </c>
    </row>
    <row r="704" spans="1:38" x14ac:dyDescent="0.3">
      <c r="A704">
        <v>316846</v>
      </c>
      <c r="B704" t="s">
        <v>38</v>
      </c>
      <c r="C704" t="s">
        <v>482</v>
      </c>
      <c r="D704">
        <v>2019</v>
      </c>
      <c r="E704" t="s">
        <v>303</v>
      </c>
      <c r="F704" t="s">
        <v>304</v>
      </c>
      <c r="S704">
        <v>0</v>
      </c>
      <c r="T704">
        <v>3</v>
      </c>
      <c r="U704">
        <v>0</v>
      </c>
      <c r="V704">
        <v>8</v>
      </c>
      <c r="W704">
        <v>14</v>
      </c>
      <c r="X704">
        <v>2.5</v>
      </c>
      <c r="Z704">
        <v>0</v>
      </c>
      <c r="AK704">
        <v>0</v>
      </c>
      <c r="AL704">
        <v>0</v>
      </c>
    </row>
    <row r="705" spans="1:38" x14ac:dyDescent="0.3">
      <c r="A705">
        <v>316846</v>
      </c>
      <c r="B705" t="s">
        <v>38</v>
      </c>
      <c r="C705" t="s">
        <v>482</v>
      </c>
      <c r="D705">
        <v>2020</v>
      </c>
      <c r="E705" t="s">
        <v>303</v>
      </c>
      <c r="F705" t="s">
        <v>304</v>
      </c>
      <c r="S705">
        <v>1</v>
      </c>
      <c r="T705">
        <v>3</v>
      </c>
      <c r="U705">
        <v>2</v>
      </c>
      <c r="V705">
        <v>10</v>
      </c>
      <c r="W705">
        <v>21</v>
      </c>
      <c r="X705">
        <v>2.5</v>
      </c>
      <c r="Z705">
        <v>0</v>
      </c>
    </row>
    <row r="706" spans="1:38" x14ac:dyDescent="0.3">
      <c r="A706">
        <v>316846</v>
      </c>
      <c r="B706" t="s">
        <v>38</v>
      </c>
      <c r="C706" t="s">
        <v>482</v>
      </c>
      <c r="D706">
        <v>2021</v>
      </c>
      <c r="E706" t="s">
        <v>303</v>
      </c>
      <c r="F706" t="s">
        <v>304</v>
      </c>
      <c r="S706">
        <v>1</v>
      </c>
      <c r="T706">
        <v>2</v>
      </c>
      <c r="U706">
        <v>0</v>
      </c>
      <c r="V706">
        <v>15</v>
      </c>
      <c r="W706">
        <v>25</v>
      </c>
      <c r="X706">
        <v>2</v>
      </c>
      <c r="Z706">
        <v>0</v>
      </c>
    </row>
    <row r="707" spans="1:38" x14ac:dyDescent="0.3">
      <c r="A707">
        <v>316846</v>
      </c>
      <c r="B707" t="s">
        <v>38</v>
      </c>
      <c r="C707" t="s">
        <v>482</v>
      </c>
      <c r="D707">
        <v>2022</v>
      </c>
      <c r="E707" t="s">
        <v>303</v>
      </c>
      <c r="F707" t="s">
        <v>304</v>
      </c>
      <c r="S707">
        <v>0</v>
      </c>
      <c r="T707">
        <v>2</v>
      </c>
      <c r="U707">
        <v>3</v>
      </c>
      <c r="V707">
        <v>15</v>
      </c>
      <c r="W707">
        <v>31</v>
      </c>
      <c r="X707">
        <v>5.5</v>
      </c>
      <c r="Z707">
        <v>0</v>
      </c>
    </row>
    <row r="708" spans="1:38" x14ac:dyDescent="0.3">
      <c r="A708">
        <v>316847</v>
      </c>
      <c r="B708" t="s">
        <v>38</v>
      </c>
      <c r="C708" t="s">
        <v>483</v>
      </c>
      <c r="D708">
        <v>2018</v>
      </c>
      <c r="E708" t="s">
        <v>303</v>
      </c>
      <c r="F708" t="s">
        <v>304</v>
      </c>
      <c r="S708">
        <v>0</v>
      </c>
      <c r="T708">
        <v>0</v>
      </c>
      <c r="U708">
        <v>0</v>
      </c>
      <c r="V708">
        <v>2</v>
      </c>
      <c r="W708">
        <v>2</v>
      </c>
      <c r="X708">
        <v>0</v>
      </c>
      <c r="Z708">
        <v>0</v>
      </c>
    </row>
    <row r="709" spans="1:38" x14ac:dyDescent="0.3">
      <c r="A709">
        <v>316847</v>
      </c>
      <c r="B709" t="s">
        <v>38</v>
      </c>
      <c r="C709" t="s">
        <v>483</v>
      </c>
      <c r="D709">
        <v>2019</v>
      </c>
      <c r="E709" t="s">
        <v>303</v>
      </c>
      <c r="F709" t="s">
        <v>304</v>
      </c>
      <c r="S709">
        <v>0</v>
      </c>
      <c r="T709">
        <v>1</v>
      </c>
      <c r="U709">
        <v>2</v>
      </c>
      <c r="V709">
        <v>17</v>
      </c>
      <c r="W709">
        <v>25</v>
      </c>
      <c r="X709">
        <v>4.5</v>
      </c>
      <c r="Z709">
        <v>0</v>
      </c>
    </row>
    <row r="710" spans="1:38" x14ac:dyDescent="0.3">
      <c r="A710">
        <v>316847</v>
      </c>
      <c r="B710" t="s">
        <v>38</v>
      </c>
      <c r="C710" t="s">
        <v>483</v>
      </c>
      <c r="D710">
        <v>2020</v>
      </c>
      <c r="E710" t="s">
        <v>303</v>
      </c>
      <c r="F710" t="s">
        <v>304</v>
      </c>
      <c r="S710">
        <v>2</v>
      </c>
      <c r="T710">
        <v>1</v>
      </c>
      <c r="U710">
        <v>1</v>
      </c>
      <c r="V710">
        <v>12</v>
      </c>
      <c r="W710">
        <v>24</v>
      </c>
      <c r="X710">
        <v>4.5</v>
      </c>
      <c r="Z710">
        <v>0</v>
      </c>
    </row>
    <row r="711" spans="1:38" x14ac:dyDescent="0.3">
      <c r="A711">
        <v>316847</v>
      </c>
      <c r="B711" t="s">
        <v>38</v>
      </c>
      <c r="C711" t="s">
        <v>483</v>
      </c>
      <c r="D711">
        <v>2021</v>
      </c>
      <c r="E711" t="s">
        <v>303</v>
      </c>
      <c r="F711" t="s">
        <v>304</v>
      </c>
      <c r="S711">
        <v>0</v>
      </c>
      <c r="T711">
        <v>1</v>
      </c>
      <c r="U711">
        <v>1</v>
      </c>
      <c r="V711">
        <v>9</v>
      </c>
      <c r="W711">
        <v>15</v>
      </c>
      <c r="X711">
        <v>2</v>
      </c>
      <c r="Z711">
        <v>0</v>
      </c>
    </row>
    <row r="712" spans="1:38" x14ac:dyDescent="0.3">
      <c r="A712">
        <v>316847</v>
      </c>
      <c r="B712" t="s">
        <v>38</v>
      </c>
      <c r="C712" t="s">
        <v>483</v>
      </c>
      <c r="D712">
        <v>2022</v>
      </c>
      <c r="E712" t="s">
        <v>303</v>
      </c>
      <c r="F712" t="s">
        <v>304</v>
      </c>
      <c r="S712">
        <v>0</v>
      </c>
      <c r="T712">
        <v>1</v>
      </c>
      <c r="U712">
        <v>2.5</v>
      </c>
      <c r="V712">
        <v>9</v>
      </c>
      <c r="W712">
        <v>25</v>
      </c>
      <c r="X712">
        <v>4</v>
      </c>
      <c r="Z712">
        <v>0</v>
      </c>
    </row>
    <row r="713" spans="1:38" x14ac:dyDescent="0.3">
      <c r="A713">
        <v>316848</v>
      </c>
      <c r="B713" t="s">
        <v>38</v>
      </c>
      <c r="C713" t="s">
        <v>484</v>
      </c>
      <c r="D713">
        <v>2019</v>
      </c>
      <c r="E713" t="s">
        <v>286</v>
      </c>
      <c r="F713" t="s">
        <v>287</v>
      </c>
      <c r="S713">
        <v>0</v>
      </c>
      <c r="T713">
        <v>0</v>
      </c>
      <c r="U713">
        <v>0</v>
      </c>
      <c r="V713">
        <v>0</v>
      </c>
      <c r="W713">
        <v>2</v>
      </c>
      <c r="X713">
        <v>0.5</v>
      </c>
      <c r="Z713">
        <v>0</v>
      </c>
    </row>
    <row r="714" spans="1:38" x14ac:dyDescent="0.3">
      <c r="A714">
        <v>316848</v>
      </c>
      <c r="B714" t="s">
        <v>38</v>
      </c>
      <c r="C714" t="s">
        <v>484</v>
      </c>
      <c r="D714">
        <v>2020</v>
      </c>
      <c r="E714" t="s">
        <v>286</v>
      </c>
      <c r="F714" t="s">
        <v>287</v>
      </c>
      <c r="S714">
        <v>0</v>
      </c>
      <c r="T714">
        <v>0</v>
      </c>
      <c r="U714">
        <v>2</v>
      </c>
      <c r="V714">
        <v>9</v>
      </c>
      <c r="W714">
        <v>22</v>
      </c>
      <c r="X714">
        <v>4.5</v>
      </c>
      <c r="Z714">
        <v>0</v>
      </c>
    </row>
    <row r="715" spans="1:38" x14ac:dyDescent="0.3">
      <c r="A715">
        <v>316848</v>
      </c>
      <c r="B715" t="s">
        <v>38</v>
      </c>
      <c r="C715" t="s">
        <v>484</v>
      </c>
      <c r="D715">
        <v>2021</v>
      </c>
      <c r="E715" t="s">
        <v>286</v>
      </c>
      <c r="F715" t="s">
        <v>287</v>
      </c>
      <c r="P715">
        <v>1</v>
      </c>
      <c r="Q715">
        <v>1</v>
      </c>
      <c r="R715">
        <v>3</v>
      </c>
      <c r="S715">
        <v>1</v>
      </c>
      <c r="T715">
        <v>3</v>
      </c>
      <c r="U715">
        <v>7</v>
      </c>
      <c r="V715">
        <v>29</v>
      </c>
      <c r="W715">
        <v>41</v>
      </c>
      <c r="X715">
        <v>8.5</v>
      </c>
      <c r="Z715">
        <v>0</v>
      </c>
      <c r="AK715">
        <v>0</v>
      </c>
      <c r="AL715">
        <v>0</v>
      </c>
    </row>
    <row r="716" spans="1:38" x14ac:dyDescent="0.3">
      <c r="A716">
        <v>316848</v>
      </c>
      <c r="B716" t="s">
        <v>38</v>
      </c>
      <c r="C716" t="s">
        <v>484</v>
      </c>
      <c r="D716">
        <v>2022</v>
      </c>
      <c r="E716" t="s">
        <v>286</v>
      </c>
      <c r="F716" t="s">
        <v>287</v>
      </c>
      <c r="P716">
        <v>1</v>
      </c>
      <c r="Q716">
        <v>1</v>
      </c>
      <c r="R716">
        <v>1</v>
      </c>
      <c r="S716">
        <v>0</v>
      </c>
      <c r="T716">
        <v>6</v>
      </c>
      <c r="U716">
        <v>2</v>
      </c>
      <c r="V716">
        <v>20</v>
      </c>
      <c r="W716">
        <v>41</v>
      </c>
      <c r="X716">
        <v>5</v>
      </c>
      <c r="Z716">
        <v>0</v>
      </c>
    </row>
    <row r="717" spans="1:38" x14ac:dyDescent="0.3">
      <c r="A717">
        <v>317168</v>
      </c>
      <c r="B717" t="s">
        <v>76</v>
      </c>
      <c r="C717" t="s">
        <v>485</v>
      </c>
      <c r="D717">
        <v>2018</v>
      </c>
      <c r="E717" t="s">
        <v>442</v>
      </c>
      <c r="F717" t="s">
        <v>443</v>
      </c>
      <c r="AA717">
        <v>18</v>
      </c>
      <c r="AB717">
        <v>18</v>
      </c>
      <c r="AC717">
        <v>1</v>
      </c>
      <c r="AD717">
        <v>0</v>
      </c>
      <c r="AE717">
        <v>18</v>
      </c>
    </row>
    <row r="718" spans="1:38" x14ac:dyDescent="0.3">
      <c r="A718">
        <v>317168</v>
      </c>
      <c r="B718" t="s">
        <v>76</v>
      </c>
      <c r="C718" t="s">
        <v>485</v>
      </c>
      <c r="D718">
        <v>2019</v>
      </c>
      <c r="E718" t="s">
        <v>442</v>
      </c>
      <c r="F718" t="s">
        <v>443</v>
      </c>
      <c r="M718">
        <v>25</v>
      </c>
      <c r="N718">
        <v>116</v>
      </c>
      <c r="O718">
        <v>1</v>
      </c>
      <c r="P718">
        <v>13</v>
      </c>
      <c r="Q718">
        <v>0</v>
      </c>
      <c r="R718">
        <v>79</v>
      </c>
      <c r="AA718">
        <v>26.4</v>
      </c>
      <c r="AB718">
        <v>75</v>
      </c>
      <c r="AC718">
        <v>24</v>
      </c>
      <c r="AD718">
        <v>0</v>
      </c>
      <c r="AE718">
        <v>633</v>
      </c>
    </row>
    <row r="719" spans="1:38" x14ac:dyDescent="0.3">
      <c r="A719">
        <v>317168</v>
      </c>
      <c r="B719" t="s">
        <v>76</v>
      </c>
      <c r="C719" t="s">
        <v>485</v>
      </c>
      <c r="D719">
        <v>2021</v>
      </c>
      <c r="E719" t="s">
        <v>442</v>
      </c>
      <c r="F719" t="s">
        <v>443</v>
      </c>
      <c r="M719">
        <v>215</v>
      </c>
      <c r="N719">
        <v>1112</v>
      </c>
      <c r="O719">
        <v>8</v>
      </c>
      <c r="P719">
        <v>10</v>
      </c>
      <c r="Q719">
        <v>1</v>
      </c>
      <c r="R719">
        <v>55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Z719">
        <v>0</v>
      </c>
      <c r="AK719">
        <v>2</v>
      </c>
      <c r="AL719">
        <v>0</v>
      </c>
    </row>
    <row r="720" spans="1:38" x14ac:dyDescent="0.3">
      <c r="A720">
        <v>317168</v>
      </c>
      <c r="B720" t="s">
        <v>76</v>
      </c>
      <c r="C720" t="s">
        <v>485</v>
      </c>
      <c r="D720">
        <v>2022</v>
      </c>
      <c r="E720" t="s">
        <v>442</v>
      </c>
      <c r="F720" t="s">
        <v>443</v>
      </c>
      <c r="M720">
        <v>157</v>
      </c>
      <c r="N720">
        <v>897</v>
      </c>
      <c r="O720">
        <v>5</v>
      </c>
      <c r="P720">
        <v>37</v>
      </c>
      <c r="Q720">
        <v>2</v>
      </c>
      <c r="R720">
        <v>314</v>
      </c>
      <c r="AK720">
        <v>1</v>
      </c>
      <c r="AL720">
        <v>0</v>
      </c>
    </row>
    <row r="721" spans="1:38" x14ac:dyDescent="0.3">
      <c r="A721">
        <v>317168</v>
      </c>
      <c r="B721" t="s">
        <v>76</v>
      </c>
      <c r="C721" t="s">
        <v>485</v>
      </c>
      <c r="D721">
        <v>2023</v>
      </c>
      <c r="E721" t="s">
        <v>130</v>
      </c>
      <c r="F721" t="s">
        <v>131</v>
      </c>
      <c r="M721">
        <v>192</v>
      </c>
      <c r="N721">
        <v>1152</v>
      </c>
      <c r="O721">
        <v>14</v>
      </c>
      <c r="P721">
        <v>53</v>
      </c>
      <c r="Q721">
        <v>3</v>
      </c>
      <c r="R721">
        <v>485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Z721">
        <v>0</v>
      </c>
      <c r="AA721">
        <v>5</v>
      </c>
      <c r="AB721">
        <v>5</v>
      </c>
      <c r="AC721">
        <v>1</v>
      </c>
      <c r="AD721">
        <v>0</v>
      </c>
      <c r="AE721">
        <v>5</v>
      </c>
      <c r="AK721">
        <v>2</v>
      </c>
      <c r="AL721">
        <v>1</v>
      </c>
    </row>
    <row r="722" spans="1:38" x14ac:dyDescent="0.3">
      <c r="A722">
        <v>317187</v>
      </c>
      <c r="B722" t="s">
        <v>142</v>
      </c>
      <c r="C722" t="s">
        <v>486</v>
      </c>
      <c r="D722">
        <v>2019</v>
      </c>
      <c r="E722" t="s">
        <v>95</v>
      </c>
      <c r="F722" t="s">
        <v>96</v>
      </c>
      <c r="P722">
        <v>2</v>
      </c>
      <c r="Q722">
        <v>1</v>
      </c>
      <c r="R722">
        <v>54</v>
      </c>
    </row>
    <row r="723" spans="1:38" x14ac:dyDescent="0.3">
      <c r="A723">
        <v>317187</v>
      </c>
      <c r="B723" t="s">
        <v>142</v>
      </c>
      <c r="C723" t="s">
        <v>486</v>
      </c>
      <c r="D723">
        <v>2021</v>
      </c>
      <c r="E723" t="s">
        <v>95</v>
      </c>
      <c r="F723" t="s">
        <v>96</v>
      </c>
      <c r="P723">
        <v>17</v>
      </c>
      <c r="Q723">
        <v>3</v>
      </c>
      <c r="R723">
        <v>165</v>
      </c>
    </row>
    <row r="724" spans="1:38" x14ac:dyDescent="0.3">
      <c r="A724">
        <v>317187</v>
      </c>
      <c r="B724" t="s">
        <v>142</v>
      </c>
      <c r="C724" t="s">
        <v>486</v>
      </c>
      <c r="D724">
        <v>2022</v>
      </c>
      <c r="E724" t="s">
        <v>95</v>
      </c>
      <c r="F724" t="s">
        <v>96</v>
      </c>
      <c r="P724">
        <v>35</v>
      </c>
      <c r="Q724">
        <v>3</v>
      </c>
      <c r="R724">
        <v>418</v>
      </c>
    </row>
    <row r="725" spans="1:38" x14ac:dyDescent="0.3">
      <c r="A725">
        <v>317480</v>
      </c>
      <c r="B725" t="s">
        <v>46</v>
      </c>
      <c r="C725" t="s">
        <v>487</v>
      </c>
      <c r="D725">
        <v>2021</v>
      </c>
      <c r="E725" t="s">
        <v>467</v>
      </c>
      <c r="F725" t="s">
        <v>468</v>
      </c>
      <c r="P725">
        <v>6</v>
      </c>
      <c r="Q725">
        <v>2</v>
      </c>
      <c r="R725">
        <v>92</v>
      </c>
      <c r="AA725">
        <v>-2</v>
      </c>
      <c r="AB725">
        <v>0</v>
      </c>
      <c r="AC725">
        <v>1</v>
      </c>
      <c r="AD725">
        <v>0</v>
      </c>
      <c r="AE725">
        <v>-2</v>
      </c>
    </row>
    <row r="726" spans="1:38" x14ac:dyDescent="0.3">
      <c r="A726">
        <v>317480</v>
      </c>
      <c r="B726" t="s">
        <v>46</v>
      </c>
      <c r="C726" t="s">
        <v>487</v>
      </c>
      <c r="D726">
        <v>2022</v>
      </c>
      <c r="E726" t="s">
        <v>467</v>
      </c>
      <c r="F726" t="s">
        <v>468</v>
      </c>
      <c r="G726">
        <v>2</v>
      </c>
      <c r="H726">
        <v>1</v>
      </c>
      <c r="I726">
        <v>16</v>
      </c>
      <c r="J726">
        <v>0.5</v>
      </c>
      <c r="K726">
        <v>0</v>
      </c>
      <c r="L726">
        <v>0</v>
      </c>
      <c r="M726">
        <v>2</v>
      </c>
      <c r="N726">
        <v>7</v>
      </c>
      <c r="O726">
        <v>0</v>
      </c>
      <c r="P726">
        <v>46</v>
      </c>
      <c r="Q726">
        <v>5</v>
      </c>
      <c r="R726">
        <v>706</v>
      </c>
      <c r="AA726">
        <v>17.8</v>
      </c>
      <c r="AB726">
        <v>28</v>
      </c>
      <c r="AC726">
        <v>8</v>
      </c>
      <c r="AD726">
        <v>0</v>
      </c>
      <c r="AE726">
        <v>142</v>
      </c>
      <c r="AF726">
        <v>13.2</v>
      </c>
      <c r="AG726">
        <v>58</v>
      </c>
      <c r="AH726">
        <v>12</v>
      </c>
      <c r="AI726">
        <v>0</v>
      </c>
      <c r="AJ726">
        <v>158</v>
      </c>
      <c r="AK726">
        <v>3</v>
      </c>
      <c r="AL726">
        <v>3</v>
      </c>
    </row>
    <row r="727" spans="1:38" x14ac:dyDescent="0.3">
      <c r="A727">
        <v>317480</v>
      </c>
      <c r="B727" t="s">
        <v>46</v>
      </c>
      <c r="C727" t="s">
        <v>487</v>
      </c>
      <c r="D727">
        <v>2023</v>
      </c>
      <c r="E727" t="s">
        <v>467</v>
      </c>
      <c r="F727" t="s">
        <v>468</v>
      </c>
      <c r="M727">
        <v>2</v>
      </c>
      <c r="N727">
        <v>11</v>
      </c>
      <c r="O727">
        <v>1</v>
      </c>
      <c r="P727">
        <v>55</v>
      </c>
      <c r="Q727">
        <v>10</v>
      </c>
      <c r="R727">
        <v>931</v>
      </c>
    </row>
    <row r="728" spans="1:38" x14ac:dyDescent="0.3">
      <c r="A728">
        <v>317610</v>
      </c>
      <c r="B728" t="s">
        <v>46</v>
      </c>
      <c r="C728" t="s">
        <v>488</v>
      </c>
      <c r="D728">
        <v>2018</v>
      </c>
      <c r="E728" t="s">
        <v>148</v>
      </c>
      <c r="F728" t="s">
        <v>149</v>
      </c>
      <c r="P728">
        <v>1</v>
      </c>
      <c r="Q728">
        <v>0</v>
      </c>
      <c r="R728">
        <v>16</v>
      </c>
      <c r="AA728">
        <v>26</v>
      </c>
      <c r="AB728">
        <v>26</v>
      </c>
      <c r="AC728">
        <v>1</v>
      </c>
      <c r="AD728">
        <v>0</v>
      </c>
      <c r="AE728">
        <v>26</v>
      </c>
    </row>
    <row r="729" spans="1:38" x14ac:dyDescent="0.3">
      <c r="A729">
        <v>317610</v>
      </c>
      <c r="B729" t="s">
        <v>46</v>
      </c>
      <c r="C729" t="s">
        <v>488</v>
      </c>
      <c r="D729">
        <v>2019</v>
      </c>
      <c r="E729" t="s">
        <v>148</v>
      </c>
      <c r="F729" t="s">
        <v>149</v>
      </c>
      <c r="M729">
        <v>4</v>
      </c>
      <c r="N729">
        <v>28</v>
      </c>
      <c r="O729">
        <v>0</v>
      </c>
      <c r="P729">
        <v>21</v>
      </c>
      <c r="Q729">
        <v>2</v>
      </c>
      <c r="R729">
        <v>273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Z729">
        <v>0</v>
      </c>
    </row>
    <row r="730" spans="1:38" x14ac:dyDescent="0.3">
      <c r="A730">
        <v>317610</v>
      </c>
      <c r="B730" t="s">
        <v>46</v>
      </c>
      <c r="C730" t="s">
        <v>488</v>
      </c>
      <c r="D730">
        <v>2020</v>
      </c>
      <c r="E730" t="s">
        <v>148</v>
      </c>
      <c r="F730" t="s">
        <v>149</v>
      </c>
      <c r="M730">
        <v>1</v>
      </c>
      <c r="N730">
        <v>17</v>
      </c>
      <c r="O730">
        <v>0</v>
      </c>
      <c r="P730">
        <v>23</v>
      </c>
      <c r="Q730">
        <v>3</v>
      </c>
      <c r="R730">
        <v>435</v>
      </c>
      <c r="AK730">
        <v>1</v>
      </c>
      <c r="AL730">
        <v>0</v>
      </c>
    </row>
    <row r="731" spans="1:38" x14ac:dyDescent="0.3">
      <c r="A731">
        <v>317610</v>
      </c>
      <c r="B731" t="s">
        <v>46</v>
      </c>
      <c r="C731" t="s">
        <v>488</v>
      </c>
      <c r="D731">
        <v>2021</v>
      </c>
      <c r="E731" t="s">
        <v>148</v>
      </c>
      <c r="F731" t="s">
        <v>149</v>
      </c>
      <c r="M731">
        <v>3</v>
      </c>
      <c r="N731">
        <v>20</v>
      </c>
      <c r="O731">
        <v>0</v>
      </c>
      <c r="P731">
        <v>41</v>
      </c>
      <c r="Q731">
        <v>4</v>
      </c>
      <c r="R731">
        <v>642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Z731">
        <v>0</v>
      </c>
      <c r="AA731">
        <v>17</v>
      </c>
      <c r="AB731">
        <v>17</v>
      </c>
      <c r="AC731">
        <v>1</v>
      </c>
      <c r="AD731">
        <v>0</v>
      </c>
      <c r="AE731">
        <v>17</v>
      </c>
      <c r="AK731">
        <v>1</v>
      </c>
      <c r="AL731">
        <v>1</v>
      </c>
    </row>
    <row r="732" spans="1:38" x14ac:dyDescent="0.3">
      <c r="A732">
        <v>317610</v>
      </c>
      <c r="B732" t="s">
        <v>46</v>
      </c>
      <c r="C732" t="s">
        <v>488</v>
      </c>
      <c r="D732">
        <v>2022</v>
      </c>
      <c r="E732" t="s">
        <v>489</v>
      </c>
      <c r="F732" t="s">
        <v>490</v>
      </c>
      <c r="M732">
        <v>1</v>
      </c>
      <c r="N732">
        <v>-1</v>
      </c>
      <c r="O732">
        <v>0</v>
      </c>
      <c r="P732">
        <v>26</v>
      </c>
      <c r="Q732">
        <v>2</v>
      </c>
      <c r="R732">
        <v>376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0</v>
      </c>
      <c r="Z732">
        <v>0</v>
      </c>
      <c r="AA732">
        <v>16</v>
      </c>
      <c r="AB732">
        <v>29</v>
      </c>
      <c r="AC732">
        <v>8</v>
      </c>
      <c r="AD732">
        <v>0</v>
      </c>
      <c r="AE732">
        <v>128</v>
      </c>
    </row>
    <row r="733" spans="1:38" x14ac:dyDescent="0.3">
      <c r="A733">
        <v>317763</v>
      </c>
      <c r="B733" t="s">
        <v>46</v>
      </c>
      <c r="C733" t="s">
        <v>491</v>
      </c>
      <c r="D733">
        <v>2019</v>
      </c>
      <c r="E733" t="s">
        <v>98</v>
      </c>
      <c r="F733" t="s">
        <v>99</v>
      </c>
      <c r="P733">
        <v>12</v>
      </c>
      <c r="Q733">
        <v>2</v>
      </c>
      <c r="R733">
        <v>201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0</v>
      </c>
      <c r="Z733">
        <v>0</v>
      </c>
    </row>
    <row r="734" spans="1:38" x14ac:dyDescent="0.3">
      <c r="A734">
        <v>317763</v>
      </c>
      <c r="B734" t="s">
        <v>46</v>
      </c>
      <c r="C734" t="s">
        <v>491</v>
      </c>
      <c r="D734">
        <v>2020</v>
      </c>
      <c r="E734" t="s">
        <v>98</v>
      </c>
      <c r="F734" t="s">
        <v>99</v>
      </c>
      <c r="P734">
        <v>27</v>
      </c>
      <c r="Q734">
        <v>3</v>
      </c>
      <c r="R734">
        <v>416</v>
      </c>
      <c r="AF734">
        <v>-1</v>
      </c>
      <c r="AG734">
        <v>0</v>
      </c>
      <c r="AH734">
        <v>1</v>
      </c>
      <c r="AI734">
        <v>0</v>
      </c>
      <c r="AJ734">
        <v>-1</v>
      </c>
      <c r="AK734">
        <v>1</v>
      </c>
      <c r="AL734">
        <v>1</v>
      </c>
    </row>
    <row r="735" spans="1:38" x14ac:dyDescent="0.3">
      <c r="A735">
        <v>317763</v>
      </c>
      <c r="B735" t="s">
        <v>46</v>
      </c>
      <c r="C735" t="s">
        <v>491</v>
      </c>
      <c r="D735">
        <v>2021</v>
      </c>
      <c r="E735" t="s">
        <v>98</v>
      </c>
      <c r="F735" t="s">
        <v>99</v>
      </c>
      <c r="P735">
        <v>42</v>
      </c>
      <c r="Q735">
        <v>3</v>
      </c>
      <c r="R735">
        <v>575</v>
      </c>
      <c r="S735">
        <v>0</v>
      </c>
      <c r="T735">
        <v>0</v>
      </c>
      <c r="U735">
        <v>0</v>
      </c>
      <c r="V735">
        <v>2</v>
      </c>
      <c r="W735">
        <v>3</v>
      </c>
      <c r="X735">
        <v>0</v>
      </c>
      <c r="Z735">
        <v>0</v>
      </c>
    </row>
    <row r="736" spans="1:38" x14ac:dyDescent="0.3">
      <c r="A736">
        <v>317763</v>
      </c>
      <c r="B736" t="s">
        <v>46</v>
      </c>
      <c r="C736" t="s">
        <v>491</v>
      </c>
      <c r="D736">
        <v>2022</v>
      </c>
      <c r="E736" t="s">
        <v>98</v>
      </c>
      <c r="F736" t="s">
        <v>99</v>
      </c>
      <c r="P736">
        <v>62</v>
      </c>
      <c r="Q736">
        <v>7</v>
      </c>
      <c r="R736">
        <v>675</v>
      </c>
      <c r="S736">
        <v>0</v>
      </c>
      <c r="T736">
        <v>0</v>
      </c>
      <c r="U736">
        <v>0</v>
      </c>
      <c r="V736">
        <v>3</v>
      </c>
      <c r="W736">
        <v>3</v>
      </c>
      <c r="X736">
        <v>0</v>
      </c>
      <c r="Z736">
        <v>0</v>
      </c>
    </row>
    <row r="737" spans="1:38" x14ac:dyDescent="0.3">
      <c r="A737">
        <v>317794</v>
      </c>
      <c r="B737" t="s">
        <v>76</v>
      </c>
      <c r="C737" t="s">
        <v>492</v>
      </c>
      <c r="D737">
        <v>2018</v>
      </c>
      <c r="E737" t="s">
        <v>228</v>
      </c>
      <c r="F737" t="s">
        <v>229</v>
      </c>
      <c r="M737">
        <v>21</v>
      </c>
      <c r="N737">
        <v>115</v>
      </c>
      <c r="O737">
        <v>1</v>
      </c>
    </row>
    <row r="738" spans="1:38" x14ac:dyDescent="0.3">
      <c r="A738">
        <v>317794</v>
      </c>
      <c r="B738" t="s">
        <v>76</v>
      </c>
      <c r="C738" t="s">
        <v>492</v>
      </c>
      <c r="D738">
        <v>2019</v>
      </c>
      <c r="E738" t="s">
        <v>228</v>
      </c>
      <c r="F738" t="s">
        <v>229</v>
      </c>
      <c r="M738">
        <v>22</v>
      </c>
      <c r="N738">
        <v>111</v>
      </c>
      <c r="O738">
        <v>0</v>
      </c>
    </row>
    <row r="739" spans="1:38" x14ac:dyDescent="0.3">
      <c r="A739">
        <v>317794</v>
      </c>
      <c r="B739" t="s">
        <v>76</v>
      </c>
      <c r="C739" t="s">
        <v>492</v>
      </c>
      <c r="D739">
        <v>2020</v>
      </c>
      <c r="E739" t="s">
        <v>228</v>
      </c>
      <c r="F739" t="s">
        <v>229</v>
      </c>
      <c r="M739">
        <v>52</v>
      </c>
      <c r="N739">
        <v>289</v>
      </c>
      <c r="O739">
        <v>1</v>
      </c>
      <c r="P739">
        <v>14</v>
      </c>
      <c r="Q739">
        <v>0</v>
      </c>
      <c r="R739">
        <v>108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Z739">
        <v>0</v>
      </c>
    </row>
    <row r="740" spans="1:38" x14ac:dyDescent="0.3">
      <c r="A740">
        <v>317794</v>
      </c>
      <c r="B740" t="s">
        <v>76</v>
      </c>
      <c r="C740" t="s">
        <v>492</v>
      </c>
      <c r="D740">
        <v>2021</v>
      </c>
      <c r="E740" t="s">
        <v>382</v>
      </c>
      <c r="F740" t="s">
        <v>383</v>
      </c>
      <c r="M740">
        <v>78</v>
      </c>
      <c r="N740">
        <v>448</v>
      </c>
      <c r="O740">
        <v>4</v>
      </c>
      <c r="P740">
        <v>4</v>
      </c>
      <c r="Q740">
        <v>0</v>
      </c>
      <c r="R740">
        <v>14</v>
      </c>
      <c r="AK740">
        <v>1</v>
      </c>
      <c r="AL740">
        <v>0</v>
      </c>
    </row>
    <row r="741" spans="1:38" x14ac:dyDescent="0.3">
      <c r="A741">
        <v>317794</v>
      </c>
      <c r="B741" t="s">
        <v>76</v>
      </c>
      <c r="C741" t="s">
        <v>492</v>
      </c>
      <c r="D741">
        <v>2022</v>
      </c>
      <c r="E741" t="s">
        <v>382</v>
      </c>
      <c r="F741" t="s">
        <v>383</v>
      </c>
      <c r="M741">
        <v>113</v>
      </c>
      <c r="N741">
        <v>553</v>
      </c>
      <c r="O741">
        <v>7</v>
      </c>
      <c r="P741">
        <v>3</v>
      </c>
      <c r="Q741">
        <v>0</v>
      </c>
      <c r="R741">
        <v>13</v>
      </c>
      <c r="AK741">
        <v>2</v>
      </c>
      <c r="AL741">
        <v>1</v>
      </c>
    </row>
    <row r="742" spans="1:38" x14ac:dyDescent="0.3">
      <c r="A742">
        <v>317794</v>
      </c>
      <c r="B742" t="s">
        <v>76</v>
      </c>
      <c r="C742" t="s">
        <v>492</v>
      </c>
      <c r="D742">
        <v>2023</v>
      </c>
      <c r="E742" t="s">
        <v>382</v>
      </c>
      <c r="F742" t="s">
        <v>383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96</v>
      </c>
      <c r="N742">
        <v>515</v>
      </c>
      <c r="O742">
        <v>5</v>
      </c>
      <c r="P742">
        <v>9</v>
      </c>
      <c r="Q742">
        <v>2</v>
      </c>
      <c r="R742">
        <v>76</v>
      </c>
      <c r="AA742">
        <v>5</v>
      </c>
      <c r="AB742">
        <v>5</v>
      </c>
      <c r="AC742">
        <v>1</v>
      </c>
      <c r="AD742">
        <v>0</v>
      </c>
      <c r="AE742">
        <v>5</v>
      </c>
      <c r="AK742">
        <v>2</v>
      </c>
      <c r="AL742">
        <v>2</v>
      </c>
    </row>
    <row r="743" spans="1:38" x14ac:dyDescent="0.3">
      <c r="A743">
        <v>318957</v>
      </c>
      <c r="B743" t="s">
        <v>69</v>
      </c>
      <c r="C743" t="s">
        <v>493</v>
      </c>
      <c r="D743">
        <v>2019</v>
      </c>
      <c r="E743" t="s">
        <v>494</v>
      </c>
      <c r="F743" t="s">
        <v>495</v>
      </c>
      <c r="S743">
        <v>0</v>
      </c>
      <c r="T743">
        <v>3</v>
      </c>
      <c r="U743">
        <v>4</v>
      </c>
      <c r="V743">
        <v>12</v>
      </c>
      <c r="W743">
        <v>30</v>
      </c>
      <c r="X743">
        <v>5.5</v>
      </c>
      <c r="Z743">
        <v>0</v>
      </c>
      <c r="AK743">
        <v>0</v>
      </c>
      <c r="AL743">
        <v>0</v>
      </c>
    </row>
    <row r="744" spans="1:38" x14ac:dyDescent="0.3">
      <c r="A744">
        <v>318957</v>
      </c>
      <c r="B744" t="s">
        <v>69</v>
      </c>
      <c r="C744" t="s">
        <v>493</v>
      </c>
      <c r="D744">
        <v>2020</v>
      </c>
      <c r="E744" t="s">
        <v>494</v>
      </c>
      <c r="F744" t="s">
        <v>495</v>
      </c>
      <c r="S744">
        <v>0</v>
      </c>
      <c r="T744">
        <v>0</v>
      </c>
      <c r="U744">
        <v>0</v>
      </c>
      <c r="V744">
        <v>2</v>
      </c>
      <c r="W744">
        <v>3</v>
      </c>
      <c r="X744">
        <v>0</v>
      </c>
      <c r="Z744">
        <v>0</v>
      </c>
    </row>
    <row r="745" spans="1:38" x14ac:dyDescent="0.3">
      <c r="A745">
        <v>318957</v>
      </c>
      <c r="B745" t="s">
        <v>69</v>
      </c>
      <c r="C745" t="s">
        <v>493</v>
      </c>
      <c r="D745">
        <v>2021</v>
      </c>
      <c r="E745" t="s">
        <v>494</v>
      </c>
      <c r="F745" t="s">
        <v>495</v>
      </c>
      <c r="S745">
        <v>0</v>
      </c>
      <c r="T745">
        <v>8</v>
      </c>
      <c r="U745">
        <v>9</v>
      </c>
      <c r="V745">
        <v>25</v>
      </c>
      <c r="W745">
        <v>41</v>
      </c>
      <c r="X745">
        <v>12</v>
      </c>
      <c r="Z745">
        <v>0</v>
      </c>
      <c r="AK745">
        <v>0</v>
      </c>
      <c r="AL745">
        <v>0</v>
      </c>
    </row>
    <row r="746" spans="1:38" x14ac:dyDescent="0.3">
      <c r="A746">
        <v>318957</v>
      </c>
      <c r="B746" t="s">
        <v>69</v>
      </c>
      <c r="C746" t="s">
        <v>493</v>
      </c>
      <c r="D746">
        <v>2022</v>
      </c>
      <c r="E746" t="s">
        <v>494</v>
      </c>
      <c r="F746" t="s">
        <v>495</v>
      </c>
      <c r="S746">
        <v>3</v>
      </c>
      <c r="T746">
        <v>5</v>
      </c>
      <c r="U746">
        <v>2</v>
      </c>
      <c r="V746">
        <v>9</v>
      </c>
      <c r="W746">
        <v>24</v>
      </c>
      <c r="X746">
        <v>5</v>
      </c>
      <c r="Z746">
        <v>0</v>
      </c>
    </row>
    <row r="747" spans="1:38" x14ac:dyDescent="0.3">
      <c r="A747">
        <v>324681</v>
      </c>
      <c r="B747" t="s">
        <v>84</v>
      </c>
      <c r="C747" t="s">
        <v>496</v>
      </c>
      <c r="D747">
        <v>2019</v>
      </c>
      <c r="E747" t="s">
        <v>148</v>
      </c>
      <c r="F747" t="s">
        <v>149</v>
      </c>
      <c r="S747">
        <v>0</v>
      </c>
      <c r="T747">
        <v>1</v>
      </c>
      <c r="U747">
        <v>4</v>
      </c>
      <c r="V747">
        <v>3</v>
      </c>
      <c r="W747">
        <v>14</v>
      </c>
      <c r="X747">
        <v>1</v>
      </c>
      <c r="Z747">
        <v>0</v>
      </c>
    </row>
    <row r="748" spans="1:38" x14ac:dyDescent="0.3">
      <c r="A748">
        <v>324681</v>
      </c>
      <c r="B748" t="s">
        <v>84</v>
      </c>
      <c r="C748" t="s">
        <v>496</v>
      </c>
      <c r="D748">
        <v>2020</v>
      </c>
      <c r="E748" t="s">
        <v>148</v>
      </c>
      <c r="F748" t="s">
        <v>149</v>
      </c>
      <c r="S748">
        <v>1</v>
      </c>
      <c r="T748">
        <v>5</v>
      </c>
      <c r="U748">
        <v>1.5</v>
      </c>
      <c r="V748">
        <v>33</v>
      </c>
      <c r="W748">
        <v>67</v>
      </c>
      <c r="X748">
        <v>7</v>
      </c>
      <c r="Y748">
        <v>1</v>
      </c>
      <c r="Z748">
        <v>0</v>
      </c>
    </row>
    <row r="749" spans="1:38" x14ac:dyDescent="0.3">
      <c r="A749">
        <v>324681</v>
      </c>
      <c r="B749" t="s">
        <v>84</v>
      </c>
      <c r="C749" t="s">
        <v>496</v>
      </c>
      <c r="D749">
        <v>2021</v>
      </c>
      <c r="E749" t="s">
        <v>148</v>
      </c>
      <c r="F749" t="s">
        <v>149</v>
      </c>
      <c r="S749">
        <v>0</v>
      </c>
      <c r="T749">
        <v>4</v>
      </c>
      <c r="U749">
        <v>0</v>
      </c>
      <c r="V749">
        <v>34</v>
      </c>
      <c r="W749">
        <v>89</v>
      </c>
      <c r="X749">
        <v>2.5</v>
      </c>
      <c r="Z749">
        <v>0</v>
      </c>
    </row>
    <row r="750" spans="1:38" x14ac:dyDescent="0.3">
      <c r="A750">
        <v>324681</v>
      </c>
      <c r="B750" t="s">
        <v>84</v>
      </c>
      <c r="C750" t="s">
        <v>496</v>
      </c>
      <c r="D750">
        <v>2022</v>
      </c>
      <c r="E750" t="s">
        <v>176</v>
      </c>
      <c r="F750" t="s">
        <v>177</v>
      </c>
      <c r="S750">
        <v>1</v>
      </c>
      <c r="T750">
        <v>0</v>
      </c>
      <c r="U750">
        <v>5</v>
      </c>
      <c r="V750">
        <v>23</v>
      </c>
      <c r="W750">
        <v>46</v>
      </c>
      <c r="X750">
        <v>11.5</v>
      </c>
      <c r="Z750">
        <v>0</v>
      </c>
    </row>
    <row r="751" spans="1:38" x14ac:dyDescent="0.3">
      <c r="A751">
        <v>324695</v>
      </c>
      <c r="B751" t="s">
        <v>84</v>
      </c>
      <c r="C751" t="s">
        <v>497</v>
      </c>
      <c r="D751">
        <v>2019</v>
      </c>
      <c r="E751" t="s">
        <v>498</v>
      </c>
      <c r="F751" t="s">
        <v>499</v>
      </c>
      <c r="S751">
        <v>0</v>
      </c>
      <c r="T751">
        <v>0</v>
      </c>
      <c r="U751">
        <v>0</v>
      </c>
      <c r="V751">
        <v>44</v>
      </c>
      <c r="W751">
        <v>60</v>
      </c>
      <c r="X751">
        <v>3</v>
      </c>
      <c r="Z751">
        <v>0</v>
      </c>
      <c r="AK751">
        <v>0</v>
      </c>
      <c r="AL751">
        <v>0</v>
      </c>
    </row>
    <row r="752" spans="1:38" x14ac:dyDescent="0.3">
      <c r="A752">
        <v>324695</v>
      </c>
      <c r="B752" t="s">
        <v>84</v>
      </c>
      <c r="C752" t="s">
        <v>497</v>
      </c>
      <c r="D752">
        <v>2020</v>
      </c>
      <c r="E752" t="s">
        <v>498</v>
      </c>
      <c r="F752" t="s">
        <v>499</v>
      </c>
      <c r="S752">
        <v>1</v>
      </c>
      <c r="T752">
        <v>7</v>
      </c>
      <c r="U752">
        <v>4.5</v>
      </c>
      <c r="V752">
        <v>66</v>
      </c>
      <c r="W752">
        <v>102</v>
      </c>
      <c r="X752">
        <v>9.5</v>
      </c>
      <c r="Y752">
        <v>1</v>
      </c>
      <c r="Z752">
        <v>0</v>
      </c>
    </row>
    <row r="753" spans="1:38" x14ac:dyDescent="0.3">
      <c r="A753">
        <v>324695</v>
      </c>
      <c r="B753" t="s">
        <v>84</v>
      </c>
      <c r="C753" t="s">
        <v>497</v>
      </c>
      <c r="D753">
        <v>2021</v>
      </c>
      <c r="E753" t="s">
        <v>498</v>
      </c>
      <c r="F753" t="s">
        <v>499</v>
      </c>
      <c r="S753">
        <v>4</v>
      </c>
      <c r="T753">
        <v>3</v>
      </c>
      <c r="U753">
        <v>7</v>
      </c>
      <c r="V753">
        <v>65</v>
      </c>
      <c r="W753">
        <v>108</v>
      </c>
      <c r="X753">
        <v>14</v>
      </c>
      <c r="Y753">
        <v>1</v>
      </c>
      <c r="Z753">
        <v>1</v>
      </c>
      <c r="AK753">
        <v>0</v>
      </c>
      <c r="AL753">
        <v>0</v>
      </c>
    </row>
    <row r="754" spans="1:38" x14ac:dyDescent="0.3">
      <c r="A754">
        <v>324695</v>
      </c>
      <c r="B754" t="s">
        <v>84</v>
      </c>
      <c r="C754" t="s">
        <v>497</v>
      </c>
      <c r="D754">
        <v>2022</v>
      </c>
      <c r="E754" t="s">
        <v>323</v>
      </c>
      <c r="F754" t="s">
        <v>324</v>
      </c>
      <c r="S754">
        <v>2</v>
      </c>
      <c r="T754">
        <v>5</v>
      </c>
      <c r="U754">
        <v>1</v>
      </c>
      <c r="V754">
        <v>37</v>
      </c>
      <c r="W754">
        <v>77</v>
      </c>
      <c r="X754">
        <v>2.5</v>
      </c>
      <c r="Y754">
        <v>2</v>
      </c>
      <c r="Z754">
        <v>0</v>
      </c>
      <c r="AK754">
        <v>0</v>
      </c>
      <c r="AL754">
        <v>0</v>
      </c>
    </row>
    <row r="755" spans="1:38" x14ac:dyDescent="0.3">
      <c r="A755">
        <v>324695</v>
      </c>
      <c r="B755" t="s">
        <v>84</v>
      </c>
      <c r="C755" t="s">
        <v>497</v>
      </c>
      <c r="D755">
        <v>2023</v>
      </c>
      <c r="E755" t="s">
        <v>323</v>
      </c>
      <c r="F755" t="s">
        <v>324</v>
      </c>
      <c r="S755">
        <v>5</v>
      </c>
      <c r="T755">
        <v>1</v>
      </c>
      <c r="U755">
        <v>3</v>
      </c>
      <c r="V755">
        <v>43</v>
      </c>
      <c r="W755">
        <v>75</v>
      </c>
      <c r="X755">
        <v>10.5</v>
      </c>
      <c r="Y755">
        <v>1</v>
      </c>
      <c r="Z755">
        <v>0</v>
      </c>
    </row>
    <row r="756" spans="1:38" x14ac:dyDescent="0.3">
      <c r="A756">
        <v>324802</v>
      </c>
      <c r="B756" t="s">
        <v>50</v>
      </c>
      <c r="C756" t="s">
        <v>500</v>
      </c>
      <c r="D756">
        <v>2019</v>
      </c>
      <c r="E756" t="s">
        <v>271</v>
      </c>
      <c r="F756" t="s">
        <v>272</v>
      </c>
      <c r="S756">
        <v>0</v>
      </c>
      <c r="T756">
        <v>0</v>
      </c>
      <c r="U756">
        <v>0</v>
      </c>
      <c r="V756">
        <v>5</v>
      </c>
      <c r="W756">
        <v>5</v>
      </c>
      <c r="X756">
        <v>0</v>
      </c>
      <c r="Z756">
        <v>0</v>
      </c>
    </row>
    <row r="757" spans="1:38" x14ac:dyDescent="0.3">
      <c r="A757">
        <v>324802</v>
      </c>
      <c r="B757" t="s">
        <v>50</v>
      </c>
      <c r="C757" t="s">
        <v>500</v>
      </c>
      <c r="D757">
        <v>2020</v>
      </c>
      <c r="E757" t="s">
        <v>271</v>
      </c>
      <c r="F757" t="s">
        <v>272</v>
      </c>
      <c r="S757">
        <v>2</v>
      </c>
      <c r="T757">
        <v>0</v>
      </c>
      <c r="U757">
        <v>0</v>
      </c>
      <c r="V757">
        <v>11</v>
      </c>
      <c r="W757">
        <v>16</v>
      </c>
      <c r="X757">
        <v>1</v>
      </c>
      <c r="Z757">
        <v>0</v>
      </c>
    </row>
    <row r="758" spans="1:38" x14ac:dyDescent="0.3">
      <c r="A758">
        <v>324802</v>
      </c>
      <c r="B758" t="s">
        <v>50</v>
      </c>
      <c r="C758" t="s">
        <v>500</v>
      </c>
      <c r="D758">
        <v>2021</v>
      </c>
      <c r="E758" t="s">
        <v>271</v>
      </c>
      <c r="F758" t="s">
        <v>272</v>
      </c>
      <c r="S758">
        <v>2</v>
      </c>
      <c r="T758">
        <v>0</v>
      </c>
      <c r="U758">
        <v>0</v>
      </c>
      <c r="V758">
        <v>19</v>
      </c>
      <c r="W758">
        <v>21</v>
      </c>
      <c r="X758">
        <v>1</v>
      </c>
      <c r="Y758">
        <v>1</v>
      </c>
      <c r="Z758">
        <v>0</v>
      </c>
    </row>
    <row r="759" spans="1:38" x14ac:dyDescent="0.3">
      <c r="A759">
        <v>324802</v>
      </c>
      <c r="B759" t="s">
        <v>50</v>
      </c>
      <c r="C759" t="s">
        <v>500</v>
      </c>
      <c r="D759">
        <v>2022</v>
      </c>
      <c r="E759" t="s">
        <v>271</v>
      </c>
      <c r="F759" t="s">
        <v>272</v>
      </c>
      <c r="S759">
        <v>4</v>
      </c>
      <c r="T759">
        <v>0</v>
      </c>
      <c r="U759">
        <v>0</v>
      </c>
      <c r="V759">
        <v>36</v>
      </c>
      <c r="W759">
        <v>47</v>
      </c>
      <c r="X759">
        <v>3</v>
      </c>
      <c r="Y759">
        <v>2</v>
      </c>
      <c r="Z759">
        <v>1</v>
      </c>
    </row>
    <row r="760" spans="1:38" x14ac:dyDescent="0.3">
      <c r="A760">
        <v>324802</v>
      </c>
      <c r="B760" t="s">
        <v>50</v>
      </c>
      <c r="C760" t="s">
        <v>500</v>
      </c>
      <c r="D760">
        <v>2023</v>
      </c>
      <c r="E760" t="s">
        <v>271</v>
      </c>
      <c r="F760" t="s">
        <v>272</v>
      </c>
      <c r="S760">
        <v>9</v>
      </c>
      <c r="T760">
        <v>0</v>
      </c>
      <c r="U760">
        <v>0</v>
      </c>
      <c r="V760">
        <v>30</v>
      </c>
      <c r="W760">
        <v>50</v>
      </c>
      <c r="X760">
        <v>1.5</v>
      </c>
      <c r="Z760">
        <v>0</v>
      </c>
    </row>
    <row r="761" spans="1:38" x14ac:dyDescent="0.3">
      <c r="A761">
        <v>324802</v>
      </c>
      <c r="B761" t="s">
        <v>50</v>
      </c>
      <c r="C761" t="s">
        <v>500</v>
      </c>
      <c r="D761">
        <v>2024</v>
      </c>
      <c r="E761" t="s">
        <v>232</v>
      </c>
      <c r="F761" t="s">
        <v>233</v>
      </c>
      <c r="S761">
        <v>5</v>
      </c>
      <c r="T761">
        <v>1</v>
      </c>
      <c r="U761">
        <v>0</v>
      </c>
      <c r="V761">
        <v>28</v>
      </c>
      <c r="W761">
        <v>36</v>
      </c>
      <c r="X761">
        <v>2</v>
      </c>
      <c r="Y761">
        <v>1</v>
      </c>
      <c r="Z761">
        <v>0</v>
      </c>
    </row>
    <row r="762" spans="1:38" x14ac:dyDescent="0.3">
      <c r="A762">
        <v>324805</v>
      </c>
      <c r="B762" t="s">
        <v>100</v>
      </c>
      <c r="C762" t="s">
        <v>501</v>
      </c>
      <c r="D762">
        <v>2019</v>
      </c>
      <c r="E762" t="s">
        <v>323</v>
      </c>
      <c r="F762" t="s">
        <v>324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0</v>
      </c>
      <c r="Z762">
        <v>0</v>
      </c>
    </row>
    <row r="763" spans="1:38" x14ac:dyDescent="0.3">
      <c r="A763">
        <v>324819</v>
      </c>
      <c r="B763" t="s">
        <v>46</v>
      </c>
      <c r="C763" t="s">
        <v>502</v>
      </c>
      <c r="D763">
        <v>2019</v>
      </c>
      <c r="E763" t="s">
        <v>243</v>
      </c>
      <c r="F763" t="s">
        <v>244</v>
      </c>
      <c r="M763">
        <v>3</v>
      </c>
      <c r="N763">
        <v>14</v>
      </c>
      <c r="O763">
        <v>0</v>
      </c>
      <c r="P763">
        <v>19</v>
      </c>
      <c r="Q763">
        <v>1</v>
      </c>
      <c r="R763">
        <v>272</v>
      </c>
      <c r="AK763">
        <v>2</v>
      </c>
      <c r="AL763">
        <v>1</v>
      </c>
    </row>
    <row r="764" spans="1:38" x14ac:dyDescent="0.3">
      <c r="A764">
        <v>324819</v>
      </c>
      <c r="B764" t="s">
        <v>46</v>
      </c>
      <c r="C764" t="s">
        <v>502</v>
      </c>
      <c r="D764">
        <v>2020</v>
      </c>
      <c r="E764" t="s">
        <v>243</v>
      </c>
      <c r="F764" t="s">
        <v>244</v>
      </c>
      <c r="P764">
        <v>4</v>
      </c>
      <c r="Q764">
        <v>0</v>
      </c>
      <c r="R764">
        <v>65</v>
      </c>
    </row>
    <row r="765" spans="1:38" x14ac:dyDescent="0.3">
      <c r="A765">
        <v>324819</v>
      </c>
      <c r="B765" t="s">
        <v>46</v>
      </c>
      <c r="C765" t="s">
        <v>502</v>
      </c>
      <c r="D765">
        <v>2021</v>
      </c>
      <c r="E765" t="s">
        <v>243</v>
      </c>
      <c r="F765" t="s">
        <v>244</v>
      </c>
      <c r="P765">
        <v>39</v>
      </c>
      <c r="Q765">
        <v>6</v>
      </c>
      <c r="R765">
        <v>399</v>
      </c>
    </row>
    <row r="766" spans="1:38" x14ac:dyDescent="0.3">
      <c r="A766">
        <v>324819</v>
      </c>
      <c r="B766" t="s">
        <v>46</v>
      </c>
      <c r="C766" t="s">
        <v>502</v>
      </c>
      <c r="D766">
        <v>2022</v>
      </c>
      <c r="E766" t="s">
        <v>145</v>
      </c>
      <c r="F766" t="s">
        <v>146</v>
      </c>
      <c r="M766">
        <v>8</v>
      </c>
      <c r="N766">
        <v>7</v>
      </c>
      <c r="O766">
        <v>0</v>
      </c>
      <c r="P766">
        <v>59</v>
      </c>
      <c r="Q766">
        <v>3</v>
      </c>
      <c r="R766">
        <v>702</v>
      </c>
      <c r="AK766">
        <v>2</v>
      </c>
      <c r="AL766">
        <v>1</v>
      </c>
    </row>
    <row r="767" spans="1:38" x14ac:dyDescent="0.3">
      <c r="A767">
        <v>324852</v>
      </c>
      <c r="B767" t="s">
        <v>69</v>
      </c>
      <c r="C767" t="s">
        <v>503</v>
      </c>
      <c r="D767">
        <v>2019</v>
      </c>
      <c r="E767" t="s">
        <v>243</v>
      </c>
      <c r="F767" t="s">
        <v>244</v>
      </c>
      <c r="S767">
        <v>1</v>
      </c>
      <c r="T767">
        <v>0</v>
      </c>
      <c r="U767">
        <v>1</v>
      </c>
      <c r="V767">
        <v>14</v>
      </c>
      <c r="W767">
        <v>19</v>
      </c>
      <c r="X767">
        <v>4</v>
      </c>
      <c r="Z767">
        <v>0</v>
      </c>
    </row>
    <row r="768" spans="1:38" x14ac:dyDescent="0.3">
      <c r="A768">
        <v>324852</v>
      </c>
      <c r="B768" t="s">
        <v>69</v>
      </c>
      <c r="C768" t="s">
        <v>503</v>
      </c>
      <c r="D768">
        <v>2020</v>
      </c>
      <c r="E768" t="s">
        <v>243</v>
      </c>
      <c r="F768" t="s">
        <v>244</v>
      </c>
      <c r="S768">
        <v>0</v>
      </c>
      <c r="T768">
        <v>6</v>
      </c>
      <c r="U768">
        <v>1</v>
      </c>
      <c r="V768">
        <v>17</v>
      </c>
      <c r="W768">
        <v>33</v>
      </c>
      <c r="X768">
        <v>3</v>
      </c>
      <c r="Y768">
        <v>1</v>
      </c>
      <c r="Z768">
        <v>0</v>
      </c>
      <c r="AF768">
        <v>22</v>
      </c>
      <c r="AG768">
        <v>0</v>
      </c>
      <c r="AH768">
        <v>1</v>
      </c>
      <c r="AI768">
        <v>0</v>
      </c>
      <c r="AJ768">
        <v>22</v>
      </c>
    </row>
    <row r="769" spans="1:38" x14ac:dyDescent="0.3">
      <c r="A769">
        <v>324852</v>
      </c>
      <c r="B769" t="s">
        <v>69</v>
      </c>
      <c r="C769" t="s">
        <v>503</v>
      </c>
      <c r="D769">
        <v>2021</v>
      </c>
      <c r="E769" t="s">
        <v>243</v>
      </c>
      <c r="F769" t="s">
        <v>244</v>
      </c>
      <c r="S769">
        <v>0</v>
      </c>
      <c r="T769">
        <v>0</v>
      </c>
      <c r="U769">
        <v>0</v>
      </c>
      <c r="V769">
        <v>23</v>
      </c>
      <c r="W769">
        <v>48</v>
      </c>
      <c r="X769">
        <v>1.5</v>
      </c>
      <c r="Z769">
        <v>0</v>
      </c>
    </row>
    <row r="770" spans="1:38" x14ac:dyDescent="0.3">
      <c r="A770">
        <v>324852</v>
      </c>
      <c r="B770" t="s">
        <v>69</v>
      </c>
      <c r="C770" t="s">
        <v>503</v>
      </c>
      <c r="D770">
        <v>2022</v>
      </c>
      <c r="E770" t="s">
        <v>243</v>
      </c>
      <c r="F770" t="s">
        <v>244</v>
      </c>
      <c r="S770">
        <v>1</v>
      </c>
      <c r="T770">
        <v>3</v>
      </c>
      <c r="U770">
        <v>2</v>
      </c>
      <c r="V770">
        <v>50</v>
      </c>
      <c r="W770">
        <v>101</v>
      </c>
      <c r="X770">
        <v>7.5</v>
      </c>
      <c r="Z770">
        <v>0</v>
      </c>
    </row>
    <row r="771" spans="1:38" x14ac:dyDescent="0.3">
      <c r="A771">
        <v>324852</v>
      </c>
      <c r="B771" t="s">
        <v>69</v>
      </c>
      <c r="C771" t="s">
        <v>503</v>
      </c>
      <c r="D771">
        <v>2023</v>
      </c>
      <c r="E771" t="s">
        <v>393</v>
      </c>
      <c r="F771" t="s">
        <v>394</v>
      </c>
      <c r="S771">
        <v>3</v>
      </c>
      <c r="T771">
        <v>2</v>
      </c>
      <c r="U771">
        <v>2.5</v>
      </c>
      <c r="V771">
        <v>28</v>
      </c>
      <c r="W771">
        <v>41</v>
      </c>
      <c r="X771">
        <v>6</v>
      </c>
      <c r="Z771">
        <v>0</v>
      </c>
      <c r="AK771">
        <v>0</v>
      </c>
      <c r="AL771">
        <v>0</v>
      </c>
    </row>
    <row r="772" spans="1:38" x14ac:dyDescent="0.3">
      <c r="A772">
        <v>324861</v>
      </c>
      <c r="B772" t="s">
        <v>46</v>
      </c>
      <c r="C772" t="s">
        <v>504</v>
      </c>
      <c r="D772">
        <v>2019</v>
      </c>
      <c r="E772" t="s">
        <v>56</v>
      </c>
      <c r="F772" t="s">
        <v>57</v>
      </c>
      <c r="P772">
        <v>17</v>
      </c>
      <c r="Q772">
        <v>3</v>
      </c>
      <c r="R772">
        <v>240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Z772">
        <v>0</v>
      </c>
      <c r="AA772">
        <v>23.2</v>
      </c>
      <c r="AB772">
        <v>40</v>
      </c>
      <c r="AC772">
        <v>14</v>
      </c>
      <c r="AD772">
        <v>0</v>
      </c>
      <c r="AE772">
        <v>325</v>
      </c>
    </row>
    <row r="773" spans="1:38" x14ac:dyDescent="0.3">
      <c r="A773">
        <v>324861</v>
      </c>
      <c r="B773" t="s">
        <v>46</v>
      </c>
      <c r="C773" t="s">
        <v>504</v>
      </c>
      <c r="D773">
        <v>2020</v>
      </c>
      <c r="E773" t="s">
        <v>56</v>
      </c>
      <c r="F773" t="s">
        <v>57</v>
      </c>
      <c r="P773">
        <v>7</v>
      </c>
      <c r="Q773">
        <v>0</v>
      </c>
      <c r="R773">
        <v>83</v>
      </c>
      <c r="S773">
        <v>0</v>
      </c>
      <c r="T773">
        <v>0</v>
      </c>
      <c r="U773">
        <v>0</v>
      </c>
      <c r="V773">
        <v>1</v>
      </c>
      <c r="W773">
        <v>1</v>
      </c>
      <c r="X773">
        <v>0</v>
      </c>
      <c r="Z773">
        <v>0</v>
      </c>
    </row>
    <row r="774" spans="1:38" x14ac:dyDescent="0.3">
      <c r="A774">
        <v>324861</v>
      </c>
      <c r="B774" t="s">
        <v>46</v>
      </c>
      <c r="C774" t="s">
        <v>504</v>
      </c>
      <c r="D774">
        <v>2021</v>
      </c>
      <c r="E774" t="s">
        <v>56</v>
      </c>
      <c r="F774" t="s">
        <v>57</v>
      </c>
      <c r="P774">
        <v>23</v>
      </c>
      <c r="Q774">
        <v>1</v>
      </c>
      <c r="R774">
        <v>438</v>
      </c>
      <c r="S774">
        <v>0</v>
      </c>
      <c r="T774">
        <v>0</v>
      </c>
      <c r="U774">
        <v>0</v>
      </c>
      <c r="V774">
        <v>3</v>
      </c>
      <c r="W774">
        <v>3</v>
      </c>
      <c r="X774">
        <v>0</v>
      </c>
      <c r="Z774">
        <v>0</v>
      </c>
      <c r="AK774">
        <v>1</v>
      </c>
      <c r="AL774">
        <v>0</v>
      </c>
    </row>
    <row r="775" spans="1:38" x14ac:dyDescent="0.3">
      <c r="A775">
        <v>324861</v>
      </c>
      <c r="B775" t="s">
        <v>46</v>
      </c>
      <c r="C775" t="s">
        <v>504</v>
      </c>
      <c r="D775">
        <v>2022</v>
      </c>
      <c r="E775" t="s">
        <v>56</v>
      </c>
      <c r="F775" t="s">
        <v>57</v>
      </c>
      <c r="P775">
        <v>41</v>
      </c>
      <c r="Q775">
        <v>2</v>
      </c>
      <c r="R775">
        <v>526</v>
      </c>
    </row>
    <row r="776" spans="1:38" x14ac:dyDescent="0.3">
      <c r="A776">
        <v>324884</v>
      </c>
      <c r="B776" t="s">
        <v>42</v>
      </c>
      <c r="C776" t="s">
        <v>505</v>
      </c>
      <c r="D776">
        <v>2019</v>
      </c>
      <c r="E776" t="s">
        <v>393</v>
      </c>
      <c r="F776" t="s">
        <v>394</v>
      </c>
      <c r="S776">
        <v>5</v>
      </c>
      <c r="T776">
        <v>0</v>
      </c>
      <c r="U776">
        <v>0.5</v>
      </c>
      <c r="V776">
        <v>37</v>
      </c>
      <c r="W776">
        <v>54</v>
      </c>
      <c r="X776">
        <v>0.5</v>
      </c>
      <c r="Y776">
        <v>1</v>
      </c>
      <c r="Z776">
        <v>0</v>
      </c>
      <c r="AF776">
        <v>26</v>
      </c>
      <c r="AG776">
        <v>0</v>
      </c>
      <c r="AH776">
        <v>1</v>
      </c>
      <c r="AI776">
        <v>0</v>
      </c>
      <c r="AJ776">
        <v>26</v>
      </c>
    </row>
    <row r="777" spans="1:38" x14ac:dyDescent="0.3">
      <c r="A777">
        <v>324884</v>
      </c>
      <c r="B777" t="s">
        <v>42</v>
      </c>
      <c r="C777" t="s">
        <v>505</v>
      </c>
      <c r="D777">
        <v>2020</v>
      </c>
      <c r="E777" t="s">
        <v>393</v>
      </c>
      <c r="F777" t="s">
        <v>394</v>
      </c>
      <c r="S777">
        <v>2</v>
      </c>
      <c r="T777">
        <v>0</v>
      </c>
      <c r="U777">
        <v>0</v>
      </c>
      <c r="V777">
        <v>18</v>
      </c>
      <c r="W777">
        <v>28</v>
      </c>
      <c r="X777">
        <v>2</v>
      </c>
      <c r="Z777">
        <v>0</v>
      </c>
    </row>
    <row r="778" spans="1:38" x14ac:dyDescent="0.3">
      <c r="A778">
        <v>324884</v>
      </c>
      <c r="B778" t="s">
        <v>42</v>
      </c>
      <c r="C778" t="s">
        <v>505</v>
      </c>
      <c r="D778">
        <v>2021</v>
      </c>
      <c r="E778" t="s">
        <v>393</v>
      </c>
      <c r="F778" t="s">
        <v>394</v>
      </c>
      <c r="P778">
        <v>1</v>
      </c>
      <c r="Q778">
        <v>0</v>
      </c>
      <c r="R778">
        <v>5</v>
      </c>
      <c r="S778">
        <v>3</v>
      </c>
      <c r="T778">
        <v>0</v>
      </c>
      <c r="U778">
        <v>0</v>
      </c>
      <c r="V778">
        <v>33</v>
      </c>
      <c r="W778">
        <v>52</v>
      </c>
      <c r="X778">
        <v>4</v>
      </c>
      <c r="Y778">
        <v>2</v>
      </c>
      <c r="Z778">
        <v>1</v>
      </c>
    </row>
    <row r="779" spans="1:38" x14ac:dyDescent="0.3">
      <c r="A779">
        <v>324884</v>
      </c>
      <c r="B779" t="s">
        <v>42</v>
      </c>
      <c r="C779" t="s">
        <v>505</v>
      </c>
      <c r="D779">
        <v>2022</v>
      </c>
      <c r="E779" t="s">
        <v>393</v>
      </c>
      <c r="F779" t="s">
        <v>394</v>
      </c>
      <c r="S779">
        <v>7</v>
      </c>
      <c r="T779">
        <v>0</v>
      </c>
      <c r="U779">
        <v>0</v>
      </c>
      <c r="V779">
        <v>51</v>
      </c>
      <c r="W779">
        <v>70</v>
      </c>
      <c r="X779">
        <v>1</v>
      </c>
      <c r="Y779">
        <v>1</v>
      </c>
      <c r="Z779">
        <v>0</v>
      </c>
      <c r="AK779">
        <v>0</v>
      </c>
      <c r="AL779">
        <v>0</v>
      </c>
    </row>
    <row r="780" spans="1:38" x14ac:dyDescent="0.3">
      <c r="A780">
        <v>324929</v>
      </c>
      <c r="B780" t="s">
        <v>42</v>
      </c>
      <c r="C780" t="s">
        <v>506</v>
      </c>
      <c r="D780">
        <v>2019</v>
      </c>
      <c r="E780" t="s">
        <v>268</v>
      </c>
      <c r="F780" t="s">
        <v>269</v>
      </c>
      <c r="S780">
        <v>2</v>
      </c>
      <c r="T780">
        <v>0</v>
      </c>
      <c r="U780">
        <v>0.5</v>
      </c>
      <c r="V780">
        <v>38</v>
      </c>
      <c r="W780">
        <v>71</v>
      </c>
      <c r="X780">
        <v>2.5</v>
      </c>
      <c r="Y780">
        <v>1</v>
      </c>
      <c r="Z780">
        <v>0</v>
      </c>
    </row>
    <row r="781" spans="1:38" x14ac:dyDescent="0.3">
      <c r="A781">
        <v>324929</v>
      </c>
      <c r="B781" t="s">
        <v>42</v>
      </c>
      <c r="C781" t="s">
        <v>506</v>
      </c>
      <c r="D781">
        <v>2020</v>
      </c>
      <c r="E781" t="s">
        <v>268</v>
      </c>
      <c r="F781" t="s">
        <v>269</v>
      </c>
      <c r="S781">
        <v>1</v>
      </c>
      <c r="T781">
        <v>0</v>
      </c>
      <c r="U781">
        <v>0</v>
      </c>
      <c r="V781">
        <v>25</v>
      </c>
      <c r="W781">
        <v>36</v>
      </c>
      <c r="X781">
        <v>2.5</v>
      </c>
      <c r="Y781">
        <v>1</v>
      </c>
      <c r="Z781">
        <v>0</v>
      </c>
    </row>
    <row r="782" spans="1:38" x14ac:dyDescent="0.3">
      <c r="A782">
        <v>324929</v>
      </c>
      <c r="B782" t="s">
        <v>42</v>
      </c>
      <c r="C782" t="s">
        <v>506</v>
      </c>
      <c r="D782">
        <v>2021</v>
      </c>
      <c r="E782" t="s">
        <v>268</v>
      </c>
      <c r="F782" t="s">
        <v>269</v>
      </c>
      <c r="S782">
        <v>3</v>
      </c>
      <c r="T782">
        <v>3</v>
      </c>
      <c r="U782">
        <v>2</v>
      </c>
      <c r="V782">
        <v>44</v>
      </c>
      <c r="W782">
        <v>65</v>
      </c>
      <c r="X782">
        <v>6.5</v>
      </c>
      <c r="Y782">
        <v>1</v>
      </c>
      <c r="Z782">
        <v>0</v>
      </c>
    </row>
    <row r="783" spans="1:38" x14ac:dyDescent="0.3">
      <c r="A783">
        <v>324929</v>
      </c>
      <c r="B783" t="s">
        <v>42</v>
      </c>
      <c r="C783" t="s">
        <v>506</v>
      </c>
      <c r="D783">
        <v>2022</v>
      </c>
      <c r="E783" t="s">
        <v>268</v>
      </c>
      <c r="F783" t="s">
        <v>269</v>
      </c>
      <c r="S783">
        <v>5</v>
      </c>
      <c r="T783">
        <v>0</v>
      </c>
      <c r="U783">
        <v>0</v>
      </c>
      <c r="V783">
        <v>46</v>
      </c>
      <c r="W783">
        <v>71</v>
      </c>
      <c r="X783">
        <v>1</v>
      </c>
      <c r="Y783">
        <v>1</v>
      </c>
      <c r="Z783">
        <v>0</v>
      </c>
      <c r="AK783">
        <v>0</v>
      </c>
      <c r="AL783">
        <v>0</v>
      </c>
    </row>
    <row r="784" spans="1:38" x14ac:dyDescent="0.3">
      <c r="A784">
        <v>324929</v>
      </c>
      <c r="B784" t="s">
        <v>42</v>
      </c>
      <c r="C784" t="s">
        <v>506</v>
      </c>
      <c r="D784">
        <v>2023</v>
      </c>
      <c r="E784" t="s">
        <v>268</v>
      </c>
      <c r="F784" t="s">
        <v>269</v>
      </c>
      <c r="S784">
        <v>3</v>
      </c>
      <c r="T784">
        <v>4</v>
      </c>
      <c r="U784">
        <v>1</v>
      </c>
      <c r="V784">
        <v>44</v>
      </c>
      <c r="W784">
        <v>59</v>
      </c>
      <c r="X784">
        <v>3</v>
      </c>
      <c r="Z784">
        <v>0</v>
      </c>
    </row>
    <row r="785" spans="1:38" x14ac:dyDescent="0.3">
      <c r="A785">
        <v>324944</v>
      </c>
      <c r="B785" t="s">
        <v>84</v>
      </c>
      <c r="C785" t="s">
        <v>507</v>
      </c>
      <c r="D785">
        <v>2019</v>
      </c>
      <c r="E785" t="s">
        <v>173</v>
      </c>
      <c r="F785" t="s">
        <v>174</v>
      </c>
      <c r="S785">
        <v>0</v>
      </c>
      <c r="T785">
        <v>0</v>
      </c>
      <c r="U785">
        <v>0</v>
      </c>
      <c r="V785">
        <v>3</v>
      </c>
      <c r="W785">
        <v>5</v>
      </c>
      <c r="X785">
        <v>0</v>
      </c>
      <c r="Z785">
        <v>0</v>
      </c>
    </row>
    <row r="786" spans="1:38" x14ac:dyDescent="0.3">
      <c r="A786">
        <v>324944</v>
      </c>
      <c r="B786" t="s">
        <v>84</v>
      </c>
      <c r="C786" t="s">
        <v>507</v>
      </c>
      <c r="D786">
        <v>2021</v>
      </c>
      <c r="E786" t="s">
        <v>173</v>
      </c>
      <c r="F786" t="s">
        <v>174</v>
      </c>
      <c r="S786">
        <v>0</v>
      </c>
      <c r="T786">
        <v>0</v>
      </c>
      <c r="U786">
        <v>0</v>
      </c>
      <c r="V786">
        <v>2</v>
      </c>
      <c r="W786">
        <v>6</v>
      </c>
      <c r="X786">
        <v>0</v>
      </c>
      <c r="Z786">
        <v>0</v>
      </c>
    </row>
    <row r="787" spans="1:38" x14ac:dyDescent="0.3">
      <c r="A787">
        <v>324944</v>
      </c>
      <c r="B787" t="s">
        <v>84</v>
      </c>
      <c r="C787" t="s">
        <v>507</v>
      </c>
      <c r="D787">
        <v>2022</v>
      </c>
      <c r="E787" t="s">
        <v>173</v>
      </c>
      <c r="F787" t="s">
        <v>174</v>
      </c>
      <c r="S787">
        <v>0</v>
      </c>
      <c r="T787">
        <v>1</v>
      </c>
      <c r="U787">
        <v>1</v>
      </c>
      <c r="V787">
        <v>9</v>
      </c>
      <c r="W787">
        <v>16</v>
      </c>
      <c r="X787">
        <v>3.5</v>
      </c>
      <c r="Y787">
        <v>1</v>
      </c>
      <c r="Z787">
        <v>0</v>
      </c>
    </row>
    <row r="788" spans="1:38" x14ac:dyDescent="0.3">
      <c r="A788">
        <v>324944</v>
      </c>
      <c r="B788" t="s">
        <v>84</v>
      </c>
      <c r="C788" t="s">
        <v>507</v>
      </c>
      <c r="D788">
        <v>2023</v>
      </c>
      <c r="E788" t="s">
        <v>116</v>
      </c>
      <c r="F788" t="s">
        <v>117</v>
      </c>
      <c r="S788">
        <v>0</v>
      </c>
      <c r="T788">
        <v>1</v>
      </c>
      <c r="U788">
        <v>2.5</v>
      </c>
      <c r="V788">
        <v>27</v>
      </c>
      <c r="W788">
        <v>56</v>
      </c>
      <c r="X788">
        <v>4.5</v>
      </c>
      <c r="Z788">
        <v>0</v>
      </c>
      <c r="AK788">
        <v>0</v>
      </c>
      <c r="AL788">
        <v>0</v>
      </c>
    </row>
    <row r="789" spans="1:38" x14ac:dyDescent="0.3">
      <c r="A789">
        <v>324977</v>
      </c>
      <c r="B789" t="s">
        <v>46</v>
      </c>
      <c r="C789" t="s">
        <v>508</v>
      </c>
      <c r="D789">
        <v>2019</v>
      </c>
      <c r="E789" t="s">
        <v>122</v>
      </c>
      <c r="F789" t="s">
        <v>123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27</v>
      </c>
      <c r="N789">
        <v>195</v>
      </c>
      <c r="O789">
        <v>1</v>
      </c>
      <c r="P789">
        <v>22</v>
      </c>
      <c r="Q789">
        <v>3</v>
      </c>
      <c r="R789">
        <v>341</v>
      </c>
    </row>
    <row r="790" spans="1:38" x14ac:dyDescent="0.3">
      <c r="A790">
        <v>324977</v>
      </c>
      <c r="B790" t="s">
        <v>46</v>
      </c>
      <c r="C790" t="s">
        <v>508</v>
      </c>
      <c r="D790">
        <v>2020</v>
      </c>
      <c r="E790" t="s">
        <v>122</v>
      </c>
      <c r="F790" t="s">
        <v>123</v>
      </c>
      <c r="M790">
        <v>11</v>
      </c>
      <c r="N790">
        <v>41</v>
      </c>
      <c r="O790">
        <v>1</v>
      </c>
      <c r="P790">
        <v>56</v>
      </c>
      <c r="Q790">
        <v>9</v>
      </c>
      <c r="R790">
        <v>892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Z790">
        <v>0</v>
      </c>
    </row>
    <row r="791" spans="1:38" x14ac:dyDescent="0.3">
      <c r="A791">
        <v>324977</v>
      </c>
      <c r="B791" t="s">
        <v>46</v>
      </c>
      <c r="C791" t="s">
        <v>508</v>
      </c>
      <c r="D791">
        <v>2021</v>
      </c>
      <c r="E791" t="s">
        <v>122</v>
      </c>
      <c r="F791" t="s">
        <v>123</v>
      </c>
      <c r="M791">
        <v>7</v>
      </c>
      <c r="N791">
        <v>69</v>
      </c>
      <c r="O791">
        <v>0</v>
      </c>
      <c r="P791">
        <v>44</v>
      </c>
      <c r="Q791">
        <v>5</v>
      </c>
      <c r="R791">
        <v>746</v>
      </c>
      <c r="S791">
        <v>0</v>
      </c>
      <c r="T791">
        <v>0</v>
      </c>
      <c r="U791">
        <v>0</v>
      </c>
      <c r="V791">
        <v>1</v>
      </c>
      <c r="W791">
        <v>1</v>
      </c>
      <c r="X791">
        <v>0</v>
      </c>
      <c r="Z791">
        <v>0</v>
      </c>
      <c r="AK791">
        <v>1</v>
      </c>
      <c r="AL791">
        <v>1</v>
      </c>
    </row>
    <row r="792" spans="1:38" x14ac:dyDescent="0.3">
      <c r="A792">
        <v>324977</v>
      </c>
      <c r="B792" t="s">
        <v>46</v>
      </c>
      <c r="C792" t="s">
        <v>508</v>
      </c>
      <c r="D792">
        <v>2022</v>
      </c>
      <c r="E792" t="s">
        <v>122</v>
      </c>
      <c r="F792" t="s">
        <v>123</v>
      </c>
      <c r="M792">
        <v>12</v>
      </c>
      <c r="N792">
        <v>40</v>
      </c>
      <c r="O792">
        <v>0</v>
      </c>
      <c r="P792">
        <v>78</v>
      </c>
      <c r="Q792">
        <v>12</v>
      </c>
      <c r="R792">
        <v>1077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0</v>
      </c>
      <c r="Z792">
        <v>0</v>
      </c>
      <c r="AF792">
        <v>6.1</v>
      </c>
      <c r="AG792">
        <v>16</v>
      </c>
      <c r="AH792">
        <v>7</v>
      </c>
      <c r="AI792">
        <v>0</v>
      </c>
      <c r="AJ792">
        <v>43</v>
      </c>
      <c r="AK792">
        <v>4</v>
      </c>
      <c r="AL792">
        <v>1</v>
      </c>
    </row>
    <row r="793" spans="1:38" x14ac:dyDescent="0.3">
      <c r="A793">
        <v>324989</v>
      </c>
      <c r="B793" t="s">
        <v>54</v>
      </c>
      <c r="C793" t="s">
        <v>509</v>
      </c>
      <c r="D793">
        <v>2019</v>
      </c>
      <c r="E793" t="s">
        <v>112</v>
      </c>
      <c r="F793" t="s">
        <v>113</v>
      </c>
      <c r="G793">
        <v>392</v>
      </c>
      <c r="H793">
        <v>282</v>
      </c>
      <c r="I793">
        <v>3502</v>
      </c>
      <c r="J793">
        <v>0.71899999999999997</v>
      </c>
      <c r="K793">
        <v>30</v>
      </c>
      <c r="L793">
        <v>9</v>
      </c>
      <c r="M793">
        <v>45</v>
      </c>
      <c r="N793">
        <v>-57</v>
      </c>
      <c r="O793">
        <v>0</v>
      </c>
      <c r="AK793">
        <v>8</v>
      </c>
      <c r="AL793">
        <v>1</v>
      </c>
    </row>
    <row r="794" spans="1:38" x14ac:dyDescent="0.3">
      <c r="A794">
        <v>324989</v>
      </c>
      <c r="B794" t="s">
        <v>54</v>
      </c>
      <c r="C794" t="s">
        <v>509</v>
      </c>
      <c r="D794">
        <v>2020</v>
      </c>
      <c r="E794" t="s">
        <v>112</v>
      </c>
      <c r="F794" t="s">
        <v>113</v>
      </c>
      <c r="G794">
        <v>262</v>
      </c>
      <c r="H794">
        <v>177</v>
      </c>
      <c r="I794">
        <v>1921</v>
      </c>
      <c r="J794">
        <v>0.67600000000000005</v>
      </c>
      <c r="K794">
        <v>17</v>
      </c>
      <c r="L794">
        <v>7</v>
      </c>
      <c r="M794">
        <v>23</v>
      </c>
      <c r="N794">
        <v>-57</v>
      </c>
      <c r="O794">
        <v>0</v>
      </c>
      <c r="AK794">
        <v>3</v>
      </c>
      <c r="AL794">
        <v>1</v>
      </c>
    </row>
    <row r="795" spans="1:38" x14ac:dyDescent="0.3">
      <c r="A795">
        <v>324989</v>
      </c>
      <c r="B795" t="s">
        <v>54</v>
      </c>
      <c r="C795" t="s">
        <v>509</v>
      </c>
      <c r="D795">
        <v>2021</v>
      </c>
      <c r="E795" t="s">
        <v>112</v>
      </c>
      <c r="F795" t="s">
        <v>113</v>
      </c>
      <c r="G795">
        <v>297</v>
      </c>
      <c r="H795">
        <v>193</v>
      </c>
      <c r="I795">
        <v>2153</v>
      </c>
      <c r="J795">
        <v>0.65</v>
      </c>
      <c r="K795">
        <v>11</v>
      </c>
      <c r="L795">
        <v>8</v>
      </c>
      <c r="M795">
        <v>26</v>
      </c>
      <c r="N795">
        <v>-36</v>
      </c>
      <c r="O795">
        <v>0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0</v>
      </c>
      <c r="Z795">
        <v>0</v>
      </c>
      <c r="AK795">
        <v>3</v>
      </c>
      <c r="AL795">
        <v>2</v>
      </c>
    </row>
    <row r="796" spans="1:38" x14ac:dyDescent="0.3">
      <c r="A796">
        <v>324989</v>
      </c>
      <c r="B796" t="s">
        <v>54</v>
      </c>
      <c r="C796" t="s">
        <v>509</v>
      </c>
      <c r="D796">
        <v>2022</v>
      </c>
      <c r="E796" t="s">
        <v>494</v>
      </c>
      <c r="F796" t="s">
        <v>495</v>
      </c>
      <c r="G796">
        <v>315</v>
      </c>
      <c r="H796">
        <v>184</v>
      </c>
      <c r="I796">
        <v>2391</v>
      </c>
      <c r="J796">
        <v>0.58399999999999996</v>
      </c>
      <c r="K796">
        <v>10</v>
      </c>
      <c r="L796">
        <v>9</v>
      </c>
      <c r="M796">
        <v>25</v>
      </c>
      <c r="N796">
        <v>-68</v>
      </c>
      <c r="O796">
        <v>0</v>
      </c>
      <c r="S796">
        <v>0</v>
      </c>
      <c r="T796">
        <v>0</v>
      </c>
      <c r="U796">
        <v>0</v>
      </c>
      <c r="V796">
        <v>2</v>
      </c>
      <c r="W796">
        <v>2</v>
      </c>
      <c r="X796">
        <v>0</v>
      </c>
      <c r="Z796">
        <v>0</v>
      </c>
      <c r="AK796">
        <v>3</v>
      </c>
      <c r="AL796">
        <v>2</v>
      </c>
    </row>
    <row r="797" spans="1:38" x14ac:dyDescent="0.3">
      <c r="A797">
        <v>324989</v>
      </c>
      <c r="B797" t="s">
        <v>54</v>
      </c>
      <c r="C797" t="s">
        <v>509</v>
      </c>
      <c r="D797">
        <v>2023</v>
      </c>
      <c r="E797" t="s">
        <v>44</v>
      </c>
      <c r="F797" t="s">
        <v>45</v>
      </c>
      <c r="G797">
        <v>266</v>
      </c>
      <c r="H797">
        <v>153</v>
      </c>
      <c r="I797">
        <v>1716</v>
      </c>
      <c r="J797">
        <v>0.57499999999999996</v>
      </c>
      <c r="K797">
        <v>12</v>
      </c>
      <c r="L797">
        <v>6</v>
      </c>
      <c r="M797">
        <v>29</v>
      </c>
      <c r="N797">
        <v>-41</v>
      </c>
      <c r="O797">
        <v>3</v>
      </c>
      <c r="P797">
        <v>1</v>
      </c>
      <c r="Q797">
        <v>0</v>
      </c>
      <c r="R797">
        <v>2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0</v>
      </c>
      <c r="Z797">
        <v>0</v>
      </c>
      <c r="AK797">
        <v>3</v>
      </c>
      <c r="AL797">
        <v>2</v>
      </c>
    </row>
    <row r="798" spans="1:38" x14ac:dyDescent="0.3">
      <c r="A798">
        <v>325000</v>
      </c>
      <c r="B798" t="s">
        <v>84</v>
      </c>
      <c r="C798" t="s">
        <v>510</v>
      </c>
      <c r="D798">
        <v>2019</v>
      </c>
      <c r="E798" t="s">
        <v>262</v>
      </c>
      <c r="F798" t="s">
        <v>263</v>
      </c>
      <c r="S798">
        <v>2</v>
      </c>
      <c r="T798">
        <v>0</v>
      </c>
      <c r="U798">
        <v>1</v>
      </c>
      <c r="V798">
        <v>13</v>
      </c>
      <c r="W798">
        <v>30</v>
      </c>
      <c r="X798">
        <v>6</v>
      </c>
      <c r="Y798">
        <v>1</v>
      </c>
      <c r="Z798">
        <v>0</v>
      </c>
      <c r="AK798">
        <v>0</v>
      </c>
      <c r="AL798">
        <v>0</v>
      </c>
    </row>
    <row r="799" spans="1:38" x14ac:dyDescent="0.3">
      <c r="A799">
        <v>325000</v>
      </c>
      <c r="B799" t="s">
        <v>84</v>
      </c>
      <c r="C799" t="s">
        <v>510</v>
      </c>
      <c r="D799">
        <v>2020</v>
      </c>
      <c r="E799" t="s">
        <v>262</v>
      </c>
      <c r="F799" t="s">
        <v>263</v>
      </c>
      <c r="S799">
        <v>2</v>
      </c>
      <c r="T799">
        <v>1</v>
      </c>
      <c r="U799">
        <v>0</v>
      </c>
      <c r="V799">
        <v>14</v>
      </c>
      <c r="W799">
        <v>21</v>
      </c>
      <c r="X799">
        <v>1</v>
      </c>
      <c r="Z799">
        <v>0</v>
      </c>
    </row>
    <row r="800" spans="1:38" x14ac:dyDescent="0.3">
      <c r="A800">
        <v>325000</v>
      </c>
      <c r="B800" t="s">
        <v>84</v>
      </c>
      <c r="C800" t="s">
        <v>510</v>
      </c>
      <c r="D800">
        <v>2021</v>
      </c>
      <c r="E800" t="s">
        <v>262</v>
      </c>
      <c r="F800" t="s">
        <v>263</v>
      </c>
      <c r="S800">
        <v>6</v>
      </c>
      <c r="T800">
        <v>0</v>
      </c>
      <c r="U800">
        <v>3</v>
      </c>
      <c r="V800">
        <v>34</v>
      </c>
      <c r="W800">
        <v>56</v>
      </c>
      <c r="X800">
        <v>8.5</v>
      </c>
      <c r="Y800">
        <v>2</v>
      </c>
      <c r="Z800">
        <v>0</v>
      </c>
      <c r="AK800">
        <v>0</v>
      </c>
      <c r="AL800">
        <v>0</v>
      </c>
    </row>
    <row r="801" spans="1:38" x14ac:dyDescent="0.3">
      <c r="A801">
        <v>325000</v>
      </c>
      <c r="B801" t="s">
        <v>84</v>
      </c>
      <c r="C801" t="s">
        <v>510</v>
      </c>
      <c r="D801">
        <v>2022</v>
      </c>
      <c r="E801" t="s">
        <v>262</v>
      </c>
      <c r="F801" t="s">
        <v>263</v>
      </c>
      <c r="S801">
        <v>5</v>
      </c>
      <c r="T801">
        <v>0</v>
      </c>
      <c r="U801">
        <v>0</v>
      </c>
      <c r="V801">
        <v>45</v>
      </c>
      <c r="W801">
        <v>75</v>
      </c>
      <c r="X801">
        <v>6</v>
      </c>
      <c r="Z801">
        <v>0</v>
      </c>
    </row>
    <row r="802" spans="1:38" x14ac:dyDescent="0.3">
      <c r="A802">
        <v>325000</v>
      </c>
      <c r="B802" t="s">
        <v>84</v>
      </c>
      <c r="C802" t="s">
        <v>510</v>
      </c>
      <c r="D802">
        <v>2023</v>
      </c>
      <c r="E802" t="s">
        <v>262</v>
      </c>
      <c r="F802" t="s">
        <v>263</v>
      </c>
      <c r="S802">
        <v>5</v>
      </c>
      <c r="T802">
        <v>0</v>
      </c>
      <c r="U802">
        <v>2.5</v>
      </c>
      <c r="V802">
        <v>44</v>
      </c>
      <c r="W802">
        <v>78</v>
      </c>
      <c r="X802">
        <v>5.5</v>
      </c>
      <c r="Y802">
        <v>3</v>
      </c>
      <c r="Z802">
        <v>0</v>
      </c>
      <c r="AK802">
        <v>1</v>
      </c>
      <c r="AL802">
        <v>1</v>
      </c>
    </row>
    <row r="803" spans="1:38" x14ac:dyDescent="0.3">
      <c r="A803">
        <v>325170</v>
      </c>
      <c r="B803" t="s">
        <v>42</v>
      </c>
      <c r="C803" t="s">
        <v>511</v>
      </c>
      <c r="D803">
        <v>2019</v>
      </c>
      <c r="E803" t="s">
        <v>303</v>
      </c>
      <c r="F803" t="s">
        <v>304</v>
      </c>
      <c r="S803">
        <v>0</v>
      </c>
      <c r="T803">
        <v>0</v>
      </c>
      <c r="U803">
        <v>0</v>
      </c>
      <c r="V803">
        <v>6</v>
      </c>
      <c r="W803">
        <v>8</v>
      </c>
      <c r="X803">
        <v>0</v>
      </c>
      <c r="Z803">
        <v>0</v>
      </c>
    </row>
    <row r="804" spans="1:38" x14ac:dyDescent="0.3">
      <c r="A804">
        <v>325170</v>
      </c>
      <c r="B804" t="s">
        <v>42</v>
      </c>
      <c r="C804" t="s">
        <v>511</v>
      </c>
      <c r="D804">
        <v>2020</v>
      </c>
      <c r="E804" t="s">
        <v>303</v>
      </c>
      <c r="F804" t="s">
        <v>304</v>
      </c>
      <c r="S804">
        <v>1</v>
      </c>
      <c r="T804">
        <v>0</v>
      </c>
      <c r="U804">
        <v>0</v>
      </c>
      <c r="V804">
        <v>2</v>
      </c>
      <c r="W804">
        <v>3</v>
      </c>
      <c r="X804">
        <v>0.5</v>
      </c>
      <c r="Z804">
        <v>0</v>
      </c>
      <c r="AF804">
        <v>21</v>
      </c>
      <c r="AG804">
        <v>21</v>
      </c>
      <c r="AH804">
        <v>1</v>
      </c>
      <c r="AI804">
        <v>0</v>
      </c>
      <c r="AJ804">
        <v>21</v>
      </c>
    </row>
    <row r="805" spans="1:38" x14ac:dyDescent="0.3">
      <c r="A805">
        <v>325170</v>
      </c>
      <c r="B805" t="s">
        <v>42</v>
      </c>
      <c r="C805" t="s">
        <v>511</v>
      </c>
      <c r="D805">
        <v>2021</v>
      </c>
      <c r="E805" t="s">
        <v>303</v>
      </c>
      <c r="F805" t="s">
        <v>304</v>
      </c>
      <c r="S805">
        <v>0</v>
      </c>
      <c r="T805">
        <v>0</v>
      </c>
      <c r="U805">
        <v>0</v>
      </c>
      <c r="V805">
        <v>2</v>
      </c>
      <c r="W805">
        <v>2</v>
      </c>
      <c r="X805">
        <v>0</v>
      </c>
      <c r="Z805">
        <v>0</v>
      </c>
    </row>
    <row r="806" spans="1:38" x14ac:dyDescent="0.3">
      <c r="A806">
        <v>325170</v>
      </c>
      <c r="B806" t="s">
        <v>42</v>
      </c>
      <c r="C806" t="s">
        <v>511</v>
      </c>
      <c r="D806">
        <v>2022</v>
      </c>
      <c r="E806" t="s">
        <v>512</v>
      </c>
      <c r="F806" t="s">
        <v>513</v>
      </c>
      <c r="S806">
        <v>2</v>
      </c>
      <c r="T806">
        <v>0</v>
      </c>
      <c r="U806">
        <v>0</v>
      </c>
      <c r="V806">
        <v>10</v>
      </c>
      <c r="W806">
        <v>13</v>
      </c>
      <c r="X806">
        <v>0</v>
      </c>
      <c r="Z806">
        <v>0</v>
      </c>
    </row>
    <row r="807" spans="1:38" x14ac:dyDescent="0.3">
      <c r="A807">
        <v>325170</v>
      </c>
      <c r="B807" t="s">
        <v>42</v>
      </c>
      <c r="C807" t="s">
        <v>511</v>
      </c>
      <c r="D807">
        <v>2023</v>
      </c>
      <c r="E807" t="s">
        <v>512</v>
      </c>
      <c r="F807" t="s">
        <v>513</v>
      </c>
      <c r="S807">
        <v>2</v>
      </c>
      <c r="T807">
        <v>0</v>
      </c>
      <c r="U807">
        <v>0</v>
      </c>
      <c r="V807">
        <v>29</v>
      </c>
      <c r="W807">
        <v>36</v>
      </c>
      <c r="X807">
        <v>1</v>
      </c>
      <c r="Z807">
        <v>0</v>
      </c>
    </row>
    <row r="808" spans="1:38" x14ac:dyDescent="0.3">
      <c r="A808">
        <v>325183</v>
      </c>
      <c r="B808" t="s">
        <v>84</v>
      </c>
      <c r="C808" t="s">
        <v>514</v>
      </c>
      <c r="D808">
        <v>2019</v>
      </c>
      <c r="E808" t="s">
        <v>420</v>
      </c>
      <c r="F808" t="s">
        <v>421</v>
      </c>
      <c r="S808">
        <v>1</v>
      </c>
      <c r="T808">
        <v>0</v>
      </c>
      <c r="U808">
        <v>0</v>
      </c>
      <c r="V808">
        <v>24</v>
      </c>
      <c r="W808">
        <v>37</v>
      </c>
      <c r="X808">
        <v>2.5</v>
      </c>
      <c r="Z808">
        <v>0</v>
      </c>
    </row>
    <row r="809" spans="1:38" x14ac:dyDescent="0.3">
      <c r="A809">
        <v>325183</v>
      </c>
      <c r="B809" t="s">
        <v>84</v>
      </c>
      <c r="C809" t="s">
        <v>514</v>
      </c>
      <c r="D809">
        <v>2020</v>
      </c>
      <c r="E809" t="s">
        <v>420</v>
      </c>
      <c r="F809" t="s">
        <v>421</v>
      </c>
      <c r="S809">
        <v>0</v>
      </c>
      <c r="T809">
        <v>0</v>
      </c>
      <c r="U809">
        <v>0</v>
      </c>
      <c r="V809">
        <v>9</v>
      </c>
      <c r="W809">
        <v>13</v>
      </c>
      <c r="X809">
        <v>1</v>
      </c>
      <c r="Z809">
        <v>1</v>
      </c>
      <c r="AK809">
        <v>0</v>
      </c>
      <c r="AL809">
        <v>0</v>
      </c>
    </row>
    <row r="810" spans="1:38" x14ac:dyDescent="0.3">
      <c r="A810">
        <v>325183</v>
      </c>
      <c r="B810" t="s">
        <v>84</v>
      </c>
      <c r="C810" t="s">
        <v>514</v>
      </c>
      <c r="D810">
        <v>2021</v>
      </c>
      <c r="E810" t="s">
        <v>420</v>
      </c>
      <c r="F810" t="s">
        <v>421</v>
      </c>
      <c r="S810">
        <v>7</v>
      </c>
      <c r="T810">
        <v>2</v>
      </c>
      <c r="U810">
        <v>1</v>
      </c>
      <c r="V810">
        <v>45</v>
      </c>
      <c r="W810">
        <v>64</v>
      </c>
      <c r="X810">
        <v>4</v>
      </c>
      <c r="Y810">
        <v>2</v>
      </c>
      <c r="Z810">
        <v>1</v>
      </c>
    </row>
    <row r="811" spans="1:38" x14ac:dyDescent="0.3">
      <c r="A811">
        <v>325183</v>
      </c>
      <c r="B811" t="s">
        <v>84</v>
      </c>
      <c r="C811" t="s">
        <v>514</v>
      </c>
      <c r="D811">
        <v>2022</v>
      </c>
      <c r="E811" t="s">
        <v>420</v>
      </c>
      <c r="F811" t="s">
        <v>421</v>
      </c>
      <c r="S811">
        <v>5</v>
      </c>
      <c r="T811">
        <v>1</v>
      </c>
      <c r="U811">
        <v>1</v>
      </c>
      <c r="V811">
        <v>34</v>
      </c>
      <c r="W811">
        <v>48</v>
      </c>
      <c r="X811">
        <v>5</v>
      </c>
      <c r="Y811">
        <v>1</v>
      </c>
      <c r="Z811">
        <v>0</v>
      </c>
    </row>
    <row r="812" spans="1:38" x14ac:dyDescent="0.3">
      <c r="A812">
        <v>325312</v>
      </c>
      <c r="B812" t="s">
        <v>84</v>
      </c>
      <c r="C812" t="s">
        <v>515</v>
      </c>
      <c r="D812">
        <v>2019</v>
      </c>
      <c r="E812" t="s">
        <v>136</v>
      </c>
      <c r="F812" t="s">
        <v>137</v>
      </c>
      <c r="S812">
        <v>0</v>
      </c>
      <c r="T812">
        <v>0</v>
      </c>
      <c r="U812">
        <v>0.5</v>
      </c>
      <c r="V812">
        <v>2</v>
      </c>
      <c r="W812">
        <v>4</v>
      </c>
      <c r="X812">
        <v>0.5</v>
      </c>
      <c r="Z812">
        <v>0</v>
      </c>
    </row>
    <row r="813" spans="1:38" x14ac:dyDescent="0.3">
      <c r="A813">
        <v>325312</v>
      </c>
      <c r="B813" t="s">
        <v>84</v>
      </c>
      <c r="C813" t="s">
        <v>515</v>
      </c>
      <c r="D813">
        <v>2020</v>
      </c>
      <c r="E813" t="s">
        <v>136</v>
      </c>
      <c r="F813" t="s">
        <v>137</v>
      </c>
      <c r="S813">
        <v>0</v>
      </c>
      <c r="T813">
        <v>0</v>
      </c>
      <c r="U813">
        <v>0</v>
      </c>
      <c r="V813">
        <v>8</v>
      </c>
      <c r="W813">
        <v>11</v>
      </c>
      <c r="X813">
        <v>2</v>
      </c>
      <c r="Z813">
        <v>0</v>
      </c>
    </row>
    <row r="814" spans="1:38" x14ac:dyDescent="0.3">
      <c r="A814">
        <v>325312</v>
      </c>
      <c r="B814" t="s">
        <v>84</v>
      </c>
      <c r="C814" t="s">
        <v>515</v>
      </c>
      <c r="D814">
        <v>2021</v>
      </c>
      <c r="E814" t="s">
        <v>136</v>
      </c>
      <c r="F814" t="s">
        <v>137</v>
      </c>
      <c r="S814">
        <v>2</v>
      </c>
      <c r="T814">
        <v>5</v>
      </c>
      <c r="U814">
        <v>2</v>
      </c>
      <c r="V814">
        <v>29</v>
      </c>
      <c r="W814">
        <v>52</v>
      </c>
      <c r="X814">
        <v>7.5</v>
      </c>
      <c r="Y814">
        <v>1</v>
      </c>
      <c r="Z814">
        <v>0</v>
      </c>
    </row>
    <row r="815" spans="1:38" x14ac:dyDescent="0.3">
      <c r="A815">
        <v>325312</v>
      </c>
      <c r="B815" t="s">
        <v>84</v>
      </c>
      <c r="C815" t="s">
        <v>515</v>
      </c>
      <c r="D815">
        <v>2022</v>
      </c>
      <c r="E815" t="s">
        <v>136</v>
      </c>
      <c r="F815" t="s">
        <v>137</v>
      </c>
      <c r="S815">
        <v>4</v>
      </c>
      <c r="T815">
        <v>2</v>
      </c>
      <c r="U815">
        <v>2.5</v>
      </c>
      <c r="V815">
        <v>34</v>
      </c>
      <c r="W815">
        <v>54</v>
      </c>
      <c r="X815">
        <v>4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</row>
    <row r="816" spans="1:38" x14ac:dyDescent="0.3">
      <c r="A816">
        <v>325312</v>
      </c>
      <c r="B816" t="s">
        <v>84</v>
      </c>
      <c r="C816" t="s">
        <v>515</v>
      </c>
      <c r="D816">
        <v>2023</v>
      </c>
      <c r="E816" t="s">
        <v>136</v>
      </c>
      <c r="F816" t="s">
        <v>137</v>
      </c>
      <c r="S816">
        <v>5</v>
      </c>
      <c r="T816">
        <v>1</v>
      </c>
      <c r="U816">
        <v>4</v>
      </c>
      <c r="V816">
        <v>56</v>
      </c>
      <c r="W816">
        <v>84</v>
      </c>
      <c r="X816">
        <v>12.5</v>
      </c>
      <c r="Z816">
        <v>0</v>
      </c>
    </row>
    <row r="817" spans="1:38" x14ac:dyDescent="0.3">
      <c r="A817">
        <v>325312</v>
      </c>
      <c r="B817" t="s">
        <v>84</v>
      </c>
      <c r="C817" t="s">
        <v>515</v>
      </c>
      <c r="D817">
        <v>2024</v>
      </c>
      <c r="E817" t="s">
        <v>136</v>
      </c>
      <c r="F817" t="s">
        <v>137</v>
      </c>
      <c r="S817">
        <v>6</v>
      </c>
      <c r="T817">
        <v>5</v>
      </c>
      <c r="U817">
        <v>4</v>
      </c>
      <c r="V817">
        <v>67</v>
      </c>
      <c r="W817">
        <v>101</v>
      </c>
      <c r="X817">
        <v>9</v>
      </c>
      <c r="Z817">
        <v>0</v>
      </c>
      <c r="AK817">
        <v>0</v>
      </c>
      <c r="AL817">
        <v>0</v>
      </c>
    </row>
    <row r="818" spans="1:38" x14ac:dyDescent="0.3">
      <c r="A818">
        <v>325325</v>
      </c>
      <c r="B818" t="s">
        <v>46</v>
      </c>
      <c r="C818" t="s">
        <v>516</v>
      </c>
      <c r="D818">
        <v>2019</v>
      </c>
      <c r="E818" t="s">
        <v>95</v>
      </c>
      <c r="F818" t="s">
        <v>96</v>
      </c>
      <c r="P818">
        <v>4</v>
      </c>
      <c r="Q818">
        <v>1</v>
      </c>
      <c r="R818">
        <v>61</v>
      </c>
    </row>
    <row r="819" spans="1:38" x14ac:dyDescent="0.3">
      <c r="A819">
        <v>325325</v>
      </c>
      <c r="B819" t="s">
        <v>46</v>
      </c>
      <c r="C819" t="s">
        <v>516</v>
      </c>
      <c r="D819">
        <v>2020</v>
      </c>
      <c r="E819" t="s">
        <v>95</v>
      </c>
      <c r="F819" t="s">
        <v>96</v>
      </c>
      <c r="P819">
        <v>16</v>
      </c>
      <c r="Q819">
        <v>3</v>
      </c>
      <c r="R819">
        <v>254</v>
      </c>
    </row>
    <row r="820" spans="1:38" x14ac:dyDescent="0.3">
      <c r="A820">
        <v>325325</v>
      </c>
      <c r="B820" t="s">
        <v>46</v>
      </c>
      <c r="C820" t="s">
        <v>516</v>
      </c>
      <c r="D820">
        <v>2021</v>
      </c>
      <c r="E820" t="s">
        <v>95</v>
      </c>
      <c r="F820" t="s">
        <v>96</v>
      </c>
      <c r="M820">
        <v>3</v>
      </c>
      <c r="N820">
        <v>30</v>
      </c>
      <c r="O820">
        <v>0</v>
      </c>
      <c r="P820">
        <v>40</v>
      </c>
      <c r="Q820">
        <v>3</v>
      </c>
      <c r="R820">
        <v>627</v>
      </c>
    </row>
    <row r="821" spans="1:38" x14ac:dyDescent="0.3">
      <c r="A821">
        <v>325325</v>
      </c>
      <c r="B821" t="s">
        <v>46</v>
      </c>
      <c r="C821" t="s">
        <v>516</v>
      </c>
      <c r="D821">
        <v>2022</v>
      </c>
      <c r="E821" t="s">
        <v>95</v>
      </c>
      <c r="F821" t="s">
        <v>96</v>
      </c>
      <c r="P821">
        <v>32</v>
      </c>
      <c r="Q821">
        <v>6</v>
      </c>
      <c r="R821">
        <v>499</v>
      </c>
      <c r="AK821">
        <v>1</v>
      </c>
      <c r="AL821">
        <v>1</v>
      </c>
    </row>
    <row r="822" spans="1:38" x14ac:dyDescent="0.3">
      <c r="A822">
        <v>325325</v>
      </c>
      <c r="B822" t="s">
        <v>46</v>
      </c>
      <c r="C822" t="s">
        <v>516</v>
      </c>
      <c r="D822">
        <v>2023</v>
      </c>
      <c r="E822" t="s">
        <v>95</v>
      </c>
      <c r="F822" t="s">
        <v>96</v>
      </c>
      <c r="M822">
        <v>3</v>
      </c>
      <c r="N822">
        <v>40</v>
      </c>
      <c r="O822">
        <v>0</v>
      </c>
      <c r="P822">
        <v>47</v>
      </c>
      <c r="Q822">
        <v>1</v>
      </c>
      <c r="R822">
        <v>604</v>
      </c>
    </row>
    <row r="823" spans="1:38" x14ac:dyDescent="0.3">
      <c r="A823">
        <v>325353</v>
      </c>
      <c r="B823" t="s">
        <v>69</v>
      </c>
      <c r="C823" t="s">
        <v>517</v>
      </c>
      <c r="D823">
        <v>2020</v>
      </c>
      <c r="E823" t="s">
        <v>136</v>
      </c>
      <c r="F823" t="s">
        <v>137</v>
      </c>
      <c r="S823">
        <v>0</v>
      </c>
      <c r="T823">
        <v>0</v>
      </c>
      <c r="U823">
        <v>1</v>
      </c>
      <c r="V823">
        <v>1</v>
      </c>
      <c r="W823">
        <v>1</v>
      </c>
      <c r="X823">
        <v>1</v>
      </c>
      <c r="Z823">
        <v>0</v>
      </c>
    </row>
    <row r="824" spans="1:38" x14ac:dyDescent="0.3">
      <c r="A824">
        <v>325353</v>
      </c>
      <c r="B824" t="s">
        <v>69</v>
      </c>
      <c r="C824" t="s">
        <v>517</v>
      </c>
      <c r="D824">
        <v>2021</v>
      </c>
      <c r="E824" t="s">
        <v>136</v>
      </c>
      <c r="F824" t="s">
        <v>137</v>
      </c>
      <c r="S824">
        <v>0</v>
      </c>
      <c r="T824">
        <v>3</v>
      </c>
      <c r="U824">
        <v>2</v>
      </c>
      <c r="V824">
        <v>18</v>
      </c>
      <c r="W824">
        <v>30</v>
      </c>
      <c r="X824">
        <v>3</v>
      </c>
      <c r="Y824">
        <v>1</v>
      </c>
      <c r="Z824">
        <v>0</v>
      </c>
    </row>
    <row r="825" spans="1:38" x14ac:dyDescent="0.3">
      <c r="A825">
        <v>325353</v>
      </c>
      <c r="B825" t="s">
        <v>69</v>
      </c>
      <c r="C825" t="s">
        <v>517</v>
      </c>
      <c r="D825">
        <v>2022</v>
      </c>
      <c r="E825" t="s">
        <v>136</v>
      </c>
      <c r="F825" t="s">
        <v>137</v>
      </c>
      <c r="S825">
        <v>0</v>
      </c>
      <c r="T825">
        <v>4</v>
      </c>
      <c r="U825">
        <v>4.5</v>
      </c>
      <c r="V825">
        <v>20</v>
      </c>
      <c r="W825">
        <v>39</v>
      </c>
      <c r="X825">
        <v>6</v>
      </c>
      <c r="Z825">
        <v>0</v>
      </c>
    </row>
    <row r="826" spans="1:38" x14ac:dyDescent="0.3">
      <c r="A826">
        <v>325353</v>
      </c>
      <c r="B826" t="s">
        <v>69</v>
      </c>
      <c r="C826" t="s">
        <v>517</v>
      </c>
      <c r="D826">
        <v>2023</v>
      </c>
      <c r="E826" t="s">
        <v>136</v>
      </c>
      <c r="F826" t="s">
        <v>137</v>
      </c>
      <c r="S826">
        <v>1</v>
      </c>
      <c r="T826">
        <v>2</v>
      </c>
      <c r="U826">
        <v>0</v>
      </c>
      <c r="V826">
        <v>15</v>
      </c>
      <c r="W826">
        <v>22</v>
      </c>
      <c r="X826">
        <v>0</v>
      </c>
      <c r="Z826">
        <v>0</v>
      </c>
      <c r="AK826">
        <v>0</v>
      </c>
      <c r="AL826">
        <v>0</v>
      </c>
    </row>
    <row r="827" spans="1:38" x14ac:dyDescent="0.3">
      <c r="A827">
        <v>325353</v>
      </c>
      <c r="B827" t="s">
        <v>69</v>
      </c>
      <c r="C827" t="s">
        <v>517</v>
      </c>
      <c r="D827">
        <v>2024</v>
      </c>
      <c r="E827" t="s">
        <v>136</v>
      </c>
      <c r="F827" t="s">
        <v>137</v>
      </c>
      <c r="S827">
        <v>0</v>
      </c>
      <c r="T827">
        <v>2</v>
      </c>
      <c r="U827">
        <v>3.5</v>
      </c>
      <c r="V827">
        <v>20</v>
      </c>
      <c r="W827">
        <v>33</v>
      </c>
      <c r="X827">
        <v>4.5</v>
      </c>
      <c r="Y827">
        <v>2</v>
      </c>
      <c r="Z827">
        <v>0</v>
      </c>
    </row>
    <row r="828" spans="1:38" x14ac:dyDescent="0.3">
      <c r="A828">
        <v>325391</v>
      </c>
      <c r="B828" t="s">
        <v>50</v>
      </c>
      <c r="C828" t="s">
        <v>518</v>
      </c>
      <c r="D828">
        <v>2019</v>
      </c>
      <c r="E828" t="s">
        <v>259</v>
      </c>
      <c r="F828" t="s">
        <v>260</v>
      </c>
      <c r="S828">
        <v>2</v>
      </c>
      <c r="T828">
        <v>0</v>
      </c>
      <c r="U828">
        <v>0</v>
      </c>
      <c r="V828">
        <v>5</v>
      </c>
      <c r="W828">
        <v>6</v>
      </c>
      <c r="X828">
        <v>1</v>
      </c>
      <c r="Z828">
        <v>0</v>
      </c>
    </row>
    <row r="829" spans="1:38" x14ac:dyDescent="0.3">
      <c r="A829">
        <v>325391</v>
      </c>
      <c r="B829" t="s">
        <v>50</v>
      </c>
      <c r="C829" t="s">
        <v>518</v>
      </c>
      <c r="D829">
        <v>2020</v>
      </c>
      <c r="E829" t="s">
        <v>259</v>
      </c>
      <c r="F829" t="s">
        <v>260</v>
      </c>
      <c r="S829">
        <v>1</v>
      </c>
      <c r="T829">
        <v>0</v>
      </c>
      <c r="U829">
        <v>0</v>
      </c>
      <c r="V829">
        <v>18</v>
      </c>
      <c r="W829">
        <v>27</v>
      </c>
      <c r="X829">
        <v>0.5</v>
      </c>
      <c r="Z829">
        <v>0</v>
      </c>
    </row>
    <row r="830" spans="1:38" x14ac:dyDescent="0.3">
      <c r="A830">
        <v>325391</v>
      </c>
      <c r="B830" t="s">
        <v>50</v>
      </c>
      <c r="C830" t="s">
        <v>518</v>
      </c>
      <c r="D830">
        <v>2021</v>
      </c>
      <c r="E830" t="s">
        <v>259</v>
      </c>
      <c r="F830" t="s">
        <v>260</v>
      </c>
      <c r="S830">
        <v>1</v>
      </c>
      <c r="T830">
        <v>0</v>
      </c>
      <c r="U830">
        <v>0</v>
      </c>
      <c r="V830">
        <v>4</v>
      </c>
      <c r="W830">
        <v>14</v>
      </c>
      <c r="X830">
        <v>0</v>
      </c>
      <c r="Z830">
        <v>0</v>
      </c>
    </row>
    <row r="831" spans="1:38" x14ac:dyDescent="0.3">
      <c r="A831">
        <v>325391</v>
      </c>
      <c r="B831" t="s">
        <v>50</v>
      </c>
      <c r="C831" t="s">
        <v>518</v>
      </c>
      <c r="D831">
        <v>2022</v>
      </c>
      <c r="E831" t="s">
        <v>259</v>
      </c>
      <c r="F831" t="s">
        <v>260</v>
      </c>
      <c r="S831">
        <v>4</v>
      </c>
      <c r="T831">
        <v>0</v>
      </c>
      <c r="U831">
        <v>0</v>
      </c>
      <c r="V831">
        <v>37</v>
      </c>
      <c r="W831">
        <v>52</v>
      </c>
      <c r="X831">
        <v>2</v>
      </c>
      <c r="Z831">
        <v>0</v>
      </c>
    </row>
    <row r="832" spans="1:38" x14ac:dyDescent="0.3">
      <c r="A832">
        <v>325391</v>
      </c>
      <c r="B832" t="s">
        <v>50</v>
      </c>
      <c r="C832" t="s">
        <v>518</v>
      </c>
      <c r="D832">
        <v>2023</v>
      </c>
      <c r="E832" t="s">
        <v>259</v>
      </c>
      <c r="F832" t="s">
        <v>260</v>
      </c>
      <c r="S832">
        <v>12</v>
      </c>
      <c r="T832">
        <v>1</v>
      </c>
      <c r="U832">
        <v>0.5</v>
      </c>
      <c r="V832">
        <v>32</v>
      </c>
      <c r="W832">
        <v>43</v>
      </c>
      <c r="X832">
        <v>2.5</v>
      </c>
      <c r="Y832">
        <v>1</v>
      </c>
      <c r="Z832">
        <v>0</v>
      </c>
    </row>
    <row r="833" spans="1:38" x14ac:dyDescent="0.3">
      <c r="A833">
        <v>325416</v>
      </c>
      <c r="B833" t="s">
        <v>69</v>
      </c>
      <c r="C833" t="s">
        <v>519</v>
      </c>
      <c r="D833">
        <v>2019</v>
      </c>
      <c r="E833" t="s">
        <v>520</v>
      </c>
      <c r="F833" t="s">
        <v>521</v>
      </c>
      <c r="S833">
        <v>0</v>
      </c>
      <c r="T833">
        <v>0</v>
      </c>
      <c r="U833">
        <v>1.5</v>
      </c>
      <c r="V833">
        <v>7</v>
      </c>
      <c r="W833">
        <v>27</v>
      </c>
      <c r="X833">
        <v>4.5</v>
      </c>
      <c r="Z833">
        <v>0</v>
      </c>
    </row>
    <row r="834" spans="1:38" x14ac:dyDescent="0.3">
      <c r="A834">
        <v>325416</v>
      </c>
      <c r="B834" t="s">
        <v>69</v>
      </c>
      <c r="C834" t="s">
        <v>519</v>
      </c>
      <c r="D834">
        <v>2020</v>
      </c>
      <c r="E834" t="s">
        <v>520</v>
      </c>
      <c r="F834" t="s">
        <v>521</v>
      </c>
      <c r="S834">
        <v>0</v>
      </c>
      <c r="T834">
        <v>2</v>
      </c>
      <c r="U834">
        <v>0</v>
      </c>
      <c r="V834">
        <v>4</v>
      </c>
      <c r="W834">
        <v>10</v>
      </c>
      <c r="X834">
        <v>0</v>
      </c>
      <c r="Z834">
        <v>0</v>
      </c>
    </row>
    <row r="835" spans="1:38" x14ac:dyDescent="0.3">
      <c r="A835">
        <v>325416</v>
      </c>
      <c r="B835" t="s">
        <v>69</v>
      </c>
      <c r="C835" t="s">
        <v>519</v>
      </c>
      <c r="D835">
        <v>2021</v>
      </c>
      <c r="E835" t="s">
        <v>520</v>
      </c>
      <c r="F835" t="s">
        <v>521</v>
      </c>
      <c r="S835">
        <v>0</v>
      </c>
      <c r="T835">
        <v>4</v>
      </c>
      <c r="U835">
        <v>5.5</v>
      </c>
      <c r="V835">
        <v>14</v>
      </c>
      <c r="W835">
        <v>49</v>
      </c>
      <c r="X835">
        <v>9</v>
      </c>
      <c r="Z835">
        <v>0</v>
      </c>
    </row>
    <row r="836" spans="1:38" x14ac:dyDescent="0.3">
      <c r="A836">
        <v>325416</v>
      </c>
      <c r="B836" t="s">
        <v>69</v>
      </c>
      <c r="C836" t="s">
        <v>519</v>
      </c>
      <c r="D836">
        <v>2022</v>
      </c>
      <c r="E836" t="s">
        <v>520</v>
      </c>
      <c r="F836" t="s">
        <v>521</v>
      </c>
      <c r="S836">
        <v>0</v>
      </c>
      <c r="T836">
        <v>6</v>
      </c>
      <c r="U836">
        <v>3.5</v>
      </c>
      <c r="V836">
        <v>15</v>
      </c>
      <c r="W836">
        <v>33</v>
      </c>
      <c r="X836">
        <v>8.5</v>
      </c>
      <c r="Z836">
        <v>0</v>
      </c>
    </row>
    <row r="837" spans="1:38" x14ac:dyDescent="0.3">
      <c r="A837">
        <v>325454</v>
      </c>
      <c r="B837" t="s">
        <v>50</v>
      </c>
      <c r="C837" t="s">
        <v>522</v>
      </c>
      <c r="D837">
        <v>2019</v>
      </c>
      <c r="E837" t="s">
        <v>119</v>
      </c>
      <c r="F837" t="s">
        <v>120</v>
      </c>
      <c r="S837">
        <v>2</v>
      </c>
      <c r="T837">
        <v>0</v>
      </c>
      <c r="U837">
        <v>0</v>
      </c>
      <c r="V837">
        <v>7</v>
      </c>
      <c r="W837">
        <v>12</v>
      </c>
      <c r="X837">
        <v>0</v>
      </c>
      <c r="Y837">
        <v>0</v>
      </c>
      <c r="Z837">
        <v>0</v>
      </c>
      <c r="AK837">
        <v>0</v>
      </c>
      <c r="AL837">
        <v>0</v>
      </c>
    </row>
    <row r="838" spans="1:38" x14ac:dyDescent="0.3">
      <c r="A838">
        <v>325454</v>
      </c>
      <c r="B838" t="s">
        <v>50</v>
      </c>
      <c r="C838" t="s">
        <v>522</v>
      </c>
      <c r="D838">
        <v>2020</v>
      </c>
      <c r="E838" t="s">
        <v>259</v>
      </c>
      <c r="F838" t="s">
        <v>260</v>
      </c>
      <c r="S838">
        <v>1</v>
      </c>
      <c r="T838">
        <v>0</v>
      </c>
      <c r="U838">
        <v>0</v>
      </c>
      <c r="V838">
        <v>11</v>
      </c>
      <c r="W838">
        <v>18</v>
      </c>
      <c r="X838">
        <v>0</v>
      </c>
      <c r="Y838">
        <v>0</v>
      </c>
      <c r="Z838">
        <v>0</v>
      </c>
    </row>
    <row r="839" spans="1:38" x14ac:dyDescent="0.3">
      <c r="A839">
        <v>325454</v>
      </c>
      <c r="B839" t="s">
        <v>50</v>
      </c>
      <c r="C839" t="s">
        <v>522</v>
      </c>
      <c r="D839">
        <v>2021</v>
      </c>
      <c r="E839" t="s">
        <v>259</v>
      </c>
      <c r="F839" t="s">
        <v>260</v>
      </c>
      <c r="S839">
        <v>2</v>
      </c>
      <c r="T839">
        <v>0</v>
      </c>
      <c r="U839">
        <v>0</v>
      </c>
      <c r="V839">
        <v>18</v>
      </c>
      <c r="W839">
        <v>22</v>
      </c>
      <c r="X839">
        <v>0.5</v>
      </c>
      <c r="Y839">
        <v>1</v>
      </c>
      <c r="Z839">
        <v>0</v>
      </c>
    </row>
    <row r="840" spans="1:38" x14ac:dyDescent="0.3">
      <c r="A840">
        <v>325454</v>
      </c>
      <c r="B840" t="s">
        <v>50</v>
      </c>
      <c r="C840" t="s">
        <v>522</v>
      </c>
      <c r="D840">
        <v>2022</v>
      </c>
      <c r="E840" t="s">
        <v>259</v>
      </c>
      <c r="F840" t="s">
        <v>260</v>
      </c>
      <c r="S840">
        <v>4</v>
      </c>
      <c r="T840">
        <v>0</v>
      </c>
      <c r="U840">
        <v>0</v>
      </c>
      <c r="V840">
        <v>13</v>
      </c>
      <c r="W840">
        <v>19</v>
      </c>
      <c r="X840">
        <v>0</v>
      </c>
      <c r="Y840">
        <v>1</v>
      </c>
      <c r="Z840">
        <v>0</v>
      </c>
    </row>
    <row r="841" spans="1:38" x14ac:dyDescent="0.3">
      <c r="A841">
        <v>325454</v>
      </c>
      <c r="B841" t="s">
        <v>50</v>
      </c>
      <c r="C841" t="s">
        <v>522</v>
      </c>
      <c r="D841">
        <v>2023</v>
      </c>
      <c r="E841" t="s">
        <v>259</v>
      </c>
      <c r="F841" t="s">
        <v>260</v>
      </c>
      <c r="S841">
        <v>3</v>
      </c>
      <c r="T841">
        <v>0</v>
      </c>
      <c r="U841">
        <v>1</v>
      </c>
      <c r="V841">
        <v>16</v>
      </c>
      <c r="W841">
        <v>25</v>
      </c>
      <c r="X841">
        <v>5</v>
      </c>
      <c r="Y841">
        <v>3</v>
      </c>
      <c r="Z841">
        <v>0</v>
      </c>
      <c r="AK841">
        <v>0</v>
      </c>
      <c r="AL841">
        <v>0</v>
      </c>
    </row>
    <row r="842" spans="1:38" x14ac:dyDescent="0.3">
      <c r="A842">
        <v>325463</v>
      </c>
      <c r="B842" t="s">
        <v>178</v>
      </c>
      <c r="C842" t="s">
        <v>523</v>
      </c>
      <c r="D842">
        <v>2020</v>
      </c>
      <c r="E842" t="s">
        <v>82</v>
      </c>
      <c r="F842" t="s">
        <v>83</v>
      </c>
      <c r="AK842">
        <v>1</v>
      </c>
      <c r="AL842">
        <v>1</v>
      </c>
    </row>
    <row r="843" spans="1:38" x14ac:dyDescent="0.3">
      <c r="A843">
        <v>325463</v>
      </c>
      <c r="B843" t="s">
        <v>178</v>
      </c>
      <c r="C843" t="s">
        <v>523</v>
      </c>
      <c r="D843">
        <v>2023</v>
      </c>
      <c r="E843" t="s">
        <v>243</v>
      </c>
      <c r="F843" t="s">
        <v>244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1</v>
      </c>
      <c r="Z843">
        <v>0</v>
      </c>
    </row>
    <row r="844" spans="1:38" x14ac:dyDescent="0.3">
      <c r="A844">
        <v>325515</v>
      </c>
      <c r="B844" t="s">
        <v>54</v>
      </c>
      <c r="C844" t="s">
        <v>524</v>
      </c>
      <c r="D844">
        <v>2019</v>
      </c>
      <c r="E844" t="s">
        <v>116</v>
      </c>
      <c r="F844" t="s">
        <v>117</v>
      </c>
      <c r="G844">
        <v>12</v>
      </c>
      <c r="H844">
        <v>9</v>
      </c>
      <c r="I844">
        <v>100</v>
      </c>
      <c r="J844">
        <v>0.75</v>
      </c>
      <c r="K844">
        <v>1</v>
      </c>
      <c r="L844">
        <v>0</v>
      </c>
      <c r="M844">
        <v>1</v>
      </c>
      <c r="N844">
        <v>-2</v>
      </c>
      <c r="O844">
        <v>0</v>
      </c>
    </row>
    <row r="845" spans="1:38" x14ac:dyDescent="0.3">
      <c r="A845">
        <v>325515</v>
      </c>
      <c r="B845" t="s">
        <v>54</v>
      </c>
      <c r="C845" t="s">
        <v>524</v>
      </c>
      <c r="D845">
        <v>2020</v>
      </c>
      <c r="E845" t="s">
        <v>489</v>
      </c>
      <c r="F845" t="s">
        <v>490</v>
      </c>
      <c r="G845">
        <v>122</v>
      </c>
      <c r="H845">
        <v>75</v>
      </c>
      <c r="I845">
        <v>1011</v>
      </c>
      <c r="J845">
        <v>0.61499999999999999</v>
      </c>
      <c r="K845">
        <v>7</v>
      </c>
      <c r="L845">
        <v>7</v>
      </c>
      <c r="M845">
        <v>26</v>
      </c>
      <c r="N845">
        <v>49</v>
      </c>
      <c r="O845">
        <v>2</v>
      </c>
      <c r="Y845">
        <v>1</v>
      </c>
    </row>
    <row r="846" spans="1:38" x14ac:dyDescent="0.3">
      <c r="A846">
        <v>325515</v>
      </c>
      <c r="B846" t="s">
        <v>54</v>
      </c>
      <c r="C846" t="s">
        <v>524</v>
      </c>
      <c r="D846">
        <v>2021</v>
      </c>
      <c r="E846" t="s">
        <v>489</v>
      </c>
      <c r="F846" t="s">
        <v>490</v>
      </c>
      <c r="G846">
        <v>474</v>
      </c>
      <c r="H846">
        <v>328</v>
      </c>
      <c r="I846">
        <v>3860</v>
      </c>
      <c r="J846">
        <v>0.69199999999999995</v>
      </c>
      <c r="K846">
        <v>26</v>
      </c>
      <c r="L846">
        <v>11</v>
      </c>
      <c r="M846">
        <v>80</v>
      </c>
      <c r="N846">
        <v>77</v>
      </c>
      <c r="O846">
        <v>2</v>
      </c>
      <c r="S846">
        <v>0</v>
      </c>
      <c r="T846">
        <v>0</v>
      </c>
      <c r="U846">
        <v>0</v>
      </c>
      <c r="V846">
        <v>1</v>
      </c>
      <c r="W846">
        <v>1</v>
      </c>
      <c r="X846">
        <v>0</v>
      </c>
      <c r="Z846">
        <v>0</v>
      </c>
      <c r="AK846">
        <v>6</v>
      </c>
      <c r="AL846">
        <v>2</v>
      </c>
    </row>
    <row r="847" spans="1:38" x14ac:dyDescent="0.3">
      <c r="A847">
        <v>325515</v>
      </c>
      <c r="B847" t="s">
        <v>54</v>
      </c>
      <c r="C847" t="s">
        <v>524</v>
      </c>
      <c r="D847">
        <v>2022</v>
      </c>
      <c r="E847" t="s">
        <v>489</v>
      </c>
      <c r="F847" t="s">
        <v>490</v>
      </c>
      <c r="G847">
        <v>391</v>
      </c>
      <c r="H847">
        <v>262</v>
      </c>
      <c r="I847">
        <v>3008</v>
      </c>
      <c r="J847">
        <v>0.67</v>
      </c>
      <c r="K847">
        <v>18</v>
      </c>
      <c r="L847">
        <v>8</v>
      </c>
      <c r="M847">
        <v>87</v>
      </c>
      <c r="N847">
        <v>64</v>
      </c>
      <c r="O847">
        <v>4</v>
      </c>
      <c r="AK847">
        <v>3</v>
      </c>
      <c r="AL847">
        <v>1</v>
      </c>
    </row>
    <row r="848" spans="1:38" x14ac:dyDescent="0.3">
      <c r="A848">
        <v>325515</v>
      </c>
      <c r="B848" t="s">
        <v>54</v>
      </c>
      <c r="C848" t="s">
        <v>524</v>
      </c>
      <c r="D848">
        <v>2023</v>
      </c>
      <c r="E848" t="s">
        <v>489</v>
      </c>
      <c r="F848" t="s">
        <v>490</v>
      </c>
      <c r="G848">
        <v>437</v>
      </c>
      <c r="H848">
        <v>290</v>
      </c>
      <c r="I848">
        <v>3377</v>
      </c>
      <c r="J848">
        <v>0.66400000000000003</v>
      </c>
      <c r="K848">
        <v>25</v>
      </c>
      <c r="L848">
        <v>11</v>
      </c>
      <c r="M848">
        <v>68</v>
      </c>
      <c r="N848">
        <v>18</v>
      </c>
      <c r="O848">
        <v>5</v>
      </c>
      <c r="P848">
        <v>1</v>
      </c>
      <c r="Q848">
        <v>0</v>
      </c>
      <c r="R848">
        <v>21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Z848">
        <v>0</v>
      </c>
      <c r="AK848">
        <v>3</v>
      </c>
      <c r="AL848">
        <v>3</v>
      </c>
    </row>
    <row r="849" spans="1:38" x14ac:dyDescent="0.3">
      <c r="A849">
        <v>325538</v>
      </c>
      <c r="B849" t="s">
        <v>46</v>
      </c>
      <c r="C849" t="s">
        <v>525</v>
      </c>
      <c r="D849">
        <v>2019</v>
      </c>
      <c r="E849" t="s">
        <v>526</v>
      </c>
      <c r="F849" t="s">
        <v>527</v>
      </c>
      <c r="P849">
        <v>8</v>
      </c>
      <c r="Q849">
        <v>1</v>
      </c>
      <c r="R849">
        <v>153</v>
      </c>
      <c r="AK849">
        <v>1</v>
      </c>
      <c r="AL849">
        <v>1</v>
      </c>
    </row>
    <row r="850" spans="1:38" x14ac:dyDescent="0.3">
      <c r="A850">
        <v>325538</v>
      </c>
      <c r="B850" t="s">
        <v>46</v>
      </c>
      <c r="C850" t="s">
        <v>525</v>
      </c>
      <c r="D850">
        <v>2019</v>
      </c>
      <c r="E850" t="s">
        <v>526</v>
      </c>
      <c r="F850" t="s">
        <v>527</v>
      </c>
      <c r="P850">
        <v>8</v>
      </c>
      <c r="Q850">
        <v>1</v>
      </c>
      <c r="R850">
        <v>153</v>
      </c>
      <c r="AK850">
        <v>1</v>
      </c>
      <c r="AL850">
        <v>1</v>
      </c>
    </row>
    <row r="851" spans="1:38" x14ac:dyDescent="0.3">
      <c r="A851">
        <v>325538</v>
      </c>
      <c r="B851" t="s">
        <v>46</v>
      </c>
      <c r="C851" t="s">
        <v>525</v>
      </c>
      <c r="D851">
        <v>2020</v>
      </c>
      <c r="E851" t="s">
        <v>526</v>
      </c>
      <c r="F851" t="s">
        <v>527</v>
      </c>
      <c r="M851">
        <v>2</v>
      </c>
      <c r="N851">
        <v>-13</v>
      </c>
      <c r="O851">
        <v>0</v>
      </c>
      <c r="P851">
        <v>58</v>
      </c>
      <c r="Q851">
        <v>5</v>
      </c>
      <c r="R851">
        <v>547</v>
      </c>
      <c r="S851">
        <v>0</v>
      </c>
      <c r="T851">
        <v>0</v>
      </c>
      <c r="U851">
        <v>0</v>
      </c>
      <c r="V851">
        <v>1</v>
      </c>
      <c r="W851">
        <v>1</v>
      </c>
      <c r="X851">
        <v>0</v>
      </c>
      <c r="Z851">
        <v>0</v>
      </c>
    </row>
    <row r="852" spans="1:38" x14ac:dyDescent="0.3">
      <c r="A852">
        <v>325538</v>
      </c>
      <c r="B852" t="s">
        <v>46</v>
      </c>
      <c r="C852" t="s">
        <v>525</v>
      </c>
      <c r="D852">
        <v>2020</v>
      </c>
      <c r="E852" t="s">
        <v>526</v>
      </c>
      <c r="F852" t="s">
        <v>527</v>
      </c>
      <c r="M852">
        <v>2</v>
      </c>
      <c r="N852">
        <v>-13</v>
      </c>
      <c r="O852">
        <v>0</v>
      </c>
      <c r="P852">
        <v>58</v>
      </c>
      <c r="Q852">
        <v>5</v>
      </c>
      <c r="R852">
        <v>547</v>
      </c>
      <c r="S852">
        <v>0</v>
      </c>
      <c r="T852">
        <v>0</v>
      </c>
      <c r="U852">
        <v>0</v>
      </c>
      <c r="V852">
        <v>1</v>
      </c>
      <c r="W852">
        <v>1</v>
      </c>
      <c r="X852">
        <v>0</v>
      </c>
      <c r="Z852">
        <v>0</v>
      </c>
    </row>
    <row r="853" spans="1:38" x14ac:dyDescent="0.3">
      <c r="A853">
        <v>325538</v>
      </c>
      <c r="B853" t="s">
        <v>46</v>
      </c>
      <c r="C853" t="s">
        <v>525</v>
      </c>
      <c r="D853">
        <v>2021</v>
      </c>
      <c r="E853" t="s">
        <v>526</v>
      </c>
      <c r="F853" t="s">
        <v>527</v>
      </c>
      <c r="G853">
        <v>3</v>
      </c>
      <c r="H853">
        <v>2</v>
      </c>
      <c r="I853">
        <v>33</v>
      </c>
      <c r="J853">
        <v>0.66700000000000004</v>
      </c>
      <c r="K853">
        <v>1</v>
      </c>
      <c r="L853">
        <v>0</v>
      </c>
      <c r="M853">
        <v>2</v>
      </c>
      <c r="N853">
        <v>11</v>
      </c>
      <c r="O853">
        <v>0</v>
      </c>
      <c r="P853">
        <v>71</v>
      </c>
      <c r="Q853">
        <v>6</v>
      </c>
      <c r="R853">
        <v>803</v>
      </c>
      <c r="AK853">
        <v>1</v>
      </c>
      <c r="AL853">
        <v>0</v>
      </c>
    </row>
    <row r="854" spans="1:38" x14ac:dyDescent="0.3">
      <c r="A854">
        <v>325538</v>
      </c>
      <c r="B854" t="s">
        <v>46</v>
      </c>
      <c r="C854" t="s">
        <v>525</v>
      </c>
      <c r="D854">
        <v>2021</v>
      </c>
      <c r="E854" t="s">
        <v>526</v>
      </c>
      <c r="F854" t="s">
        <v>527</v>
      </c>
      <c r="G854">
        <v>3</v>
      </c>
      <c r="H854">
        <v>2</v>
      </c>
      <c r="I854">
        <v>33</v>
      </c>
      <c r="J854">
        <v>0.66700000000000004</v>
      </c>
      <c r="K854">
        <v>1</v>
      </c>
      <c r="L854">
        <v>0</v>
      </c>
      <c r="M854">
        <v>2</v>
      </c>
      <c r="N854">
        <v>11</v>
      </c>
      <c r="O854">
        <v>0</v>
      </c>
      <c r="P854">
        <v>71</v>
      </c>
      <c r="Q854">
        <v>6</v>
      </c>
      <c r="R854">
        <v>803</v>
      </c>
      <c r="AK854">
        <v>1</v>
      </c>
      <c r="AL854">
        <v>0</v>
      </c>
    </row>
    <row r="855" spans="1:38" x14ac:dyDescent="0.3">
      <c r="A855">
        <v>325538</v>
      </c>
      <c r="B855" t="s">
        <v>46</v>
      </c>
      <c r="C855" t="s">
        <v>525</v>
      </c>
      <c r="D855">
        <v>2022</v>
      </c>
      <c r="E855" t="s">
        <v>526</v>
      </c>
      <c r="F855" t="s">
        <v>527</v>
      </c>
      <c r="G855">
        <v>2</v>
      </c>
      <c r="H855">
        <v>2</v>
      </c>
      <c r="I855">
        <v>12</v>
      </c>
      <c r="J855">
        <v>1</v>
      </c>
      <c r="K855">
        <v>0</v>
      </c>
      <c r="L855">
        <v>0</v>
      </c>
      <c r="M855">
        <v>3</v>
      </c>
      <c r="N855">
        <v>10</v>
      </c>
      <c r="O855">
        <v>1</v>
      </c>
      <c r="P855">
        <v>87</v>
      </c>
      <c r="Q855">
        <v>6</v>
      </c>
      <c r="R855">
        <v>985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0</v>
      </c>
      <c r="Z855">
        <v>0</v>
      </c>
      <c r="AA855">
        <v>12</v>
      </c>
      <c r="AB855">
        <v>12</v>
      </c>
      <c r="AC855">
        <v>1</v>
      </c>
      <c r="AD855">
        <v>0</v>
      </c>
      <c r="AE855">
        <v>12</v>
      </c>
      <c r="AF855">
        <v>4</v>
      </c>
      <c r="AG855">
        <v>17</v>
      </c>
      <c r="AH855">
        <v>9</v>
      </c>
      <c r="AI855">
        <v>0</v>
      </c>
      <c r="AJ855">
        <v>36</v>
      </c>
      <c r="AK855">
        <v>1</v>
      </c>
      <c r="AL855">
        <v>1</v>
      </c>
    </row>
    <row r="856" spans="1:38" x14ac:dyDescent="0.3">
      <c r="A856">
        <v>325538</v>
      </c>
      <c r="B856" t="s">
        <v>46</v>
      </c>
      <c r="C856" t="s">
        <v>525</v>
      </c>
      <c r="D856">
        <v>2022</v>
      </c>
      <c r="E856" t="s">
        <v>526</v>
      </c>
      <c r="F856" t="s">
        <v>527</v>
      </c>
      <c r="G856">
        <v>2</v>
      </c>
      <c r="H856">
        <v>2</v>
      </c>
      <c r="I856">
        <v>12</v>
      </c>
      <c r="J856">
        <v>1</v>
      </c>
      <c r="K856">
        <v>0</v>
      </c>
      <c r="L856">
        <v>0</v>
      </c>
      <c r="M856">
        <v>3</v>
      </c>
      <c r="N856">
        <v>10</v>
      </c>
      <c r="O856">
        <v>1</v>
      </c>
      <c r="P856">
        <v>87</v>
      </c>
      <c r="Q856">
        <v>6</v>
      </c>
      <c r="R856">
        <v>985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0</v>
      </c>
      <c r="Z856">
        <v>0</v>
      </c>
      <c r="AA856">
        <v>12</v>
      </c>
      <c r="AB856">
        <v>12</v>
      </c>
      <c r="AC856">
        <v>1</v>
      </c>
      <c r="AD856">
        <v>0</v>
      </c>
      <c r="AE856">
        <v>12</v>
      </c>
      <c r="AF856">
        <v>4</v>
      </c>
      <c r="AG856">
        <v>17</v>
      </c>
      <c r="AH856">
        <v>9</v>
      </c>
      <c r="AI856">
        <v>0</v>
      </c>
      <c r="AJ856">
        <v>36</v>
      </c>
      <c r="AK856">
        <v>1</v>
      </c>
      <c r="AL856">
        <v>1</v>
      </c>
    </row>
    <row r="857" spans="1:38" x14ac:dyDescent="0.3">
      <c r="A857">
        <v>325538</v>
      </c>
      <c r="B857" t="s">
        <v>46</v>
      </c>
      <c r="C857" t="s">
        <v>525</v>
      </c>
      <c r="D857">
        <v>2023</v>
      </c>
      <c r="E857" t="s">
        <v>526</v>
      </c>
      <c r="F857" t="s">
        <v>527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-9</v>
      </c>
      <c r="O857">
        <v>0</v>
      </c>
      <c r="P857">
        <v>89</v>
      </c>
      <c r="Q857">
        <v>10</v>
      </c>
      <c r="R857">
        <v>1151</v>
      </c>
      <c r="AF857">
        <v>16</v>
      </c>
      <c r="AG857">
        <v>16</v>
      </c>
      <c r="AH857">
        <v>1</v>
      </c>
      <c r="AI857">
        <v>0</v>
      </c>
      <c r="AJ857">
        <v>16</v>
      </c>
    </row>
    <row r="858" spans="1:38" x14ac:dyDescent="0.3">
      <c r="A858">
        <v>325538</v>
      </c>
      <c r="B858" t="s">
        <v>46</v>
      </c>
      <c r="C858" t="s">
        <v>525</v>
      </c>
      <c r="D858">
        <v>2023</v>
      </c>
      <c r="E858" t="s">
        <v>526</v>
      </c>
      <c r="F858" t="s">
        <v>527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-9</v>
      </c>
      <c r="O858">
        <v>0</v>
      </c>
      <c r="P858">
        <v>89</v>
      </c>
      <c r="Q858">
        <v>10</v>
      </c>
      <c r="R858">
        <v>1151</v>
      </c>
      <c r="AF858">
        <v>16</v>
      </c>
      <c r="AG858">
        <v>16</v>
      </c>
      <c r="AH858">
        <v>1</v>
      </c>
      <c r="AI858">
        <v>0</v>
      </c>
      <c r="AJ858">
        <v>16</v>
      </c>
    </row>
    <row r="859" spans="1:38" x14ac:dyDescent="0.3">
      <c r="A859">
        <v>325600</v>
      </c>
      <c r="B859" t="s">
        <v>42</v>
      </c>
      <c r="C859" t="s">
        <v>528</v>
      </c>
      <c r="D859">
        <v>2019</v>
      </c>
      <c r="E859" t="s">
        <v>529</v>
      </c>
      <c r="F859" t="s">
        <v>530</v>
      </c>
      <c r="S859">
        <v>0</v>
      </c>
      <c r="T859">
        <v>0</v>
      </c>
      <c r="U859">
        <v>0</v>
      </c>
      <c r="V859">
        <v>12</v>
      </c>
      <c r="W859">
        <v>16</v>
      </c>
      <c r="X859">
        <v>2</v>
      </c>
      <c r="Z859">
        <v>0</v>
      </c>
      <c r="AK859">
        <v>0</v>
      </c>
      <c r="AL859">
        <v>0</v>
      </c>
    </row>
    <row r="860" spans="1:38" x14ac:dyDescent="0.3">
      <c r="A860">
        <v>325600</v>
      </c>
      <c r="B860" t="s">
        <v>42</v>
      </c>
      <c r="C860" t="s">
        <v>528</v>
      </c>
      <c r="D860">
        <v>2020</v>
      </c>
      <c r="E860" t="s">
        <v>529</v>
      </c>
      <c r="F860" t="s">
        <v>530</v>
      </c>
      <c r="S860">
        <v>7</v>
      </c>
      <c r="T860">
        <v>2</v>
      </c>
      <c r="U860">
        <v>0</v>
      </c>
      <c r="V860">
        <v>40</v>
      </c>
      <c r="W860">
        <v>62</v>
      </c>
      <c r="X860">
        <v>2</v>
      </c>
      <c r="Y860">
        <v>3</v>
      </c>
      <c r="Z860">
        <v>0</v>
      </c>
      <c r="AK860">
        <v>0</v>
      </c>
      <c r="AL860">
        <v>0</v>
      </c>
    </row>
    <row r="861" spans="1:38" x14ac:dyDescent="0.3">
      <c r="A861">
        <v>325600</v>
      </c>
      <c r="B861" t="s">
        <v>42</v>
      </c>
      <c r="C861" t="s">
        <v>528</v>
      </c>
      <c r="D861">
        <v>2021</v>
      </c>
      <c r="E861" t="s">
        <v>529</v>
      </c>
      <c r="F861" t="s">
        <v>530</v>
      </c>
      <c r="S861">
        <v>4</v>
      </c>
      <c r="T861">
        <v>0</v>
      </c>
      <c r="U861">
        <v>0</v>
      </c>
      <c r="V861">
        <v>36</v>
      </c>
      <c r="W861">
        <v>90</v>
      </c>
      <c r="X861">
        <v>1</v>
      </c>
      <c r="Y861">
        <v>3</v>
      </c>
      <c r="Z861">
        <v>1</v>
      </c>
    </row>
    <row r="862" spans="1:38" x14ac:dyDescent="0.3">
      <c r="A862">
        <v>325600</v>
      </c>
      <c r="B862" t="s">
        <v>42</v>
      </c>
      <c r="C862" t="s">
        <v>528</v>
      </c>
      <c r="D862">
        <v>2022</v>
      </c>
      <c r="E862" t="s">
        <v>529</v>
      </c>
      <c r="F862" t="s">
        <v>530</v>
      </c>
      <c r="S862">
        <v>2</v>
      </c>
      <c r="T862">
        <v>0</v>
      </c>
      <c r="U862">
        <v>0</v>
      </c>
      <c r="V862">
        <v>43</v>
      </c>
      <c r="W862">
        <v>71</v>
      </c>
      <c r="X862">
        <v>3.5</v>
      </c>
      <c r="Y862">
        <v>2</v>
      </c>
      <c r="Z862">
        <v>0</v>
      </c>
      <c r="AK862">
        <v>0</v>
      </c>
      <c r="AL862">
        <v>0</v>
      </c>
    </row>
    <row r="863" spans="1:38" x14ac:dyDescent="0.3">
      <c r="A863">
        <v>325610</v>
      </c>
      <c r="B863" t="s">
        <v>50</v>
      </c>
      <c r="C863" t="s">
        <v>531</v>
      </c>
      <c r="D863">
        <v>2019</v>
      </c>
      <c r="E863" t="s">
        <v>529</v>
      </c>
      <c r="F863" t="s">
        <v>530</v>
      </c>
      <c r="S863">
        <v>2</v>
      </c>
      <c r="T863">
        <v>0</v>
      </c>
      <c r="U863">
        <v>0</v>
      </c>
      <c r="V863">
        <v>18</v>
      </c>
      <c r="W863">
        <v>25</v>
      </c>
      <c r="X863">
        <v>0</v>
      </c>
      <c r="Y863">
        <v>2</v>
      </c>
      <c r="Z863">
        <v>0</v>
      </c>
    </row>
    <row r="864" spans="1:38" x14ac:dyDescent="0.3">
      <c r="A864">
        <v>325610</v>
      </c>
      <c r="B864" t="s">
        <v>50</v>
      </c>
      <c r="C864" t="s">
        <v>531</v>
      </c>
      <c r="D864">
        <v>2021</v>
      </c>
      <c r="E864" t="s">
        <v>529</v>
      </c>
      <c r="F864" t="s">
        <v>530</v>
      </c>
      <c r="S864">
        <v>3</v>
      </c>
      <c r="T864">
        <v>0</v>
      </c>
      <c r="U864">
        <v>0</v>
      </c>
      <c r="V864">
        <v>32</v>
      </c>
      <c r="W864">
        <v>45</v>
      </c>
      <c r="X864">
        <v>0</v>
      </c>
      <c r="Y864">
        <v>2</v>
      </c>
      <c r="Z864">
        <v>0</v>
      </c>
    </row>
    <row r="865" spans="1:38" x14ac:dyDescent="0.3">
      <c r="A865">
        <v>325610</v>
      </c>
      <c r="B865" t="s">
        <v>50</v>
      </c>
      <c r="C865" t="s">
        <v>531</v>
      </c>
      <c r="D865">
        <v>2022</v>
      </c>
      <c r="E865" t="s">
        <v>529</v>
      </c>
      <c r="F865" t="s">
        <v>530</v>
      </c>
      <c r="S865">
        <v>10</v>
      </c>
      <c r="T865">
        <v>0</v>
      </c>
      <c r="U865">
        <v>0</v>
      </c>
      <c r="V865">
        <v>23</v>
      </c>
      <c r="W865">
        <v>36</v>
      </c>
      <c r="X865">
        <v>1</v>
      </c>
      <c r="Y865">
        <v>1</v>
      </c>
      <c r="Z865">
        <v>0</v>
      </c>
    </row>
    <row r="866" spans="1:38" x14ac:dyDescent="0.3">
      <c r="A866">
        <v>325610</v>
      </c>
      <c r="B866" t="s">
        <v>50</v>
      </c>
      <c r="C866" t="s">
        <v>531</v>
      </c>
      <c r="D866">
        <v>2023</v>
      </c>
      <c r="E866" t="s">
        <v>529</v>
      </c>
      <c r="F866" t="s">
        <v>530</v>
      </c>
      <c r="S866">
        <v>5</v>
      </c>
      <c r="T866">
        <v>0</v>
      </c>
      <c r="U866">
        <v>1</v>
      </c>
      <c r="V866">
        <v>24</v>
      </c>
      <c r="W866">
        <v>36</v>
      </c>
      <c r="X866">
        <v>5</v>
      </c>
      <c r="Y866">
        <v>1</v>
      </c>
      <c r="Z866">
        <v>0</v>
      </c>
    </row>
    <row r="867" spans="1:38" x14ac:dyDescent="0.3">
      <c r="A867">
        <v>325753</v>
      </c>
      <c r="B867" t="s">
        <v>46</v>
      </c>
      <c r="C867" t="s">
        <v>532</v>
      </c>
      <c r="D867">
        <v>2021</v>
      </c>
      <c r="E867" t="s">
        <v>533</v>
      </c>
      <c r="F867" t="s">
        <v>534</v>
      </c>
      <c r="G867">
        <v>1</v>
      </c>
      <c r="H867">
        <v>1</v>
      </c>
      <c r="I867">
        <v>22</v>
      </c>
      <c r="J867">
        <v>1</v>
      </c>
      <c r="K867">
        <v>0</v>
      </c>
      <c r="L867">
        <v>0</v>
      </c>
      <c r="M867">
        <v>1</v>
      </c>
      <c r="N867">
        <v>-8</v>
      </c>
      <c r="O867">
        <v>0</v>
      </c>
      <c r="P867">
        <v>22</v>
      </c>
      <c r="Q867">
        <v>2</v>
      </c>
      <c r="R867">
        <v>430</v>
      </c>
      <c r="AA867">
        <v>20.3</v>
      </c>
      <c r="AB867">
        <v>27</v>
      </c>
      <c r="AC867">
        <v>12</v>
      </c>
      <c r="AD867">
        <v>0</v>
      </c>
      <c r="AE867">
        <v>244</v>
      </c>
      <c r="AK867">
        <v>1</v>
      </c>
      <c r="AL867">
        <v>1</v>
      </c>
    </row>
    <row r="868" spans="1:38" x14ac:dyDescent="0.3">
      <c r="A868">
        <v>325753</v>
      </c>
      <c r="B868" t="s">
        <v>46</v>
      </c>
      <c r="C868" t="s">
        <v>532</v>
      </c>
      <c r="D868">
        <v>2022</v>
      </c>
      <c r="E868" t="s">
        <v>494</v>
      </c>
      <c r="F868" t="s">
        <v>495</v>
      </c>
      <c r="M868">
        <v>3</v>
      </c>
      <c r="N868">
        <v>10</v>
      </c>
      <c r="O868">
        <v>0</v>
      </c>
      <c r="P868">
        <v>27</v>
      </c>
      <c r="Q868">
        <v>2</v>
      </c>
      <c r="R868">
        <v>401</v>
      </c>
      <c r="AK868">
        <v>1</v>
      </c>
      <c r="AL868">
        <v>1</v>
      </c>
    </row>
    <row r="869" spans="1:38" x14ac:dyDescent="0.3">
      <c r="A869">
        <v>325753</v>
      </c>
      <c r="B869" t="s">
        <v>46</v>
      </c>
      <c r="C869" t="s">
        <v>532</v>
      </c>
      <c r="D869">
        <v>2023</v>
      </c>
      <c r="E869" t="s">
        <v>494</v>
      </c>
      <c r="F869" t="s">
        <v>495</v>
      </c>
      <c r="P869">
        <v>41</v>
      </c>
      <c r="Q869">
        <v>6</v>
      </c>
      <c r="R869">
        <v>721</v>
      </c>
      <c r="AK869">
        <v>1</v>
      </c>
      <c r="AL869">
        <v>1</v>
      </c>
    </row>
    <row r="870" spans="1:38" x14ac:dyDescent="0.3">
      <c r="A870">
        <v>325899</v>
      </c>
      <c r="B870" t="s">
        <v>69</v>
      </c>
      <c r="C870" t="s">
        <v>535</v>
      </c>
      <c r="D870">
        <v>2019</v>
      </c>
      <c r="E870" t="s">
        <v>164</v>
      </c>
      <c r="F870" t="s">
        <v>165</v>
      </c>
      <c r="S870">
        <v>0</v>
      </c>
      <c r="T870">
        <v>0</v>
      </c>
      <c r="U870">
        <v>0</v>
      </c>
      <c r="V870">
        <v>2</v>
      </c>
      <c r="W870">
        <v>2</v>
      </c>
      <c r="X870">
        <v>0</v>
      </c>
      <c r="Z870">
        <v>0</v>
      </c>
    </row>
    <row r="871" spans="1:38" x14ac:dyDescent="0.3">
      <c r="A871">
        <v>325899</v>
      </c>
      <c r="B871" t="s">
        <v>69</v>
      </c>
      <c r="C871" t="s">
        <v>535</v>
      </c>
      <c r="D871">
        <v>2020</v>
      </c>
      <c r="E871" t="s">
        <v>164</v>
      </c>
      <c r="F871" t="s">
        <v>165</v>
      </c>
      <c r="S871">
        <v>0</v>
      </c>
      <c r="T871">
        <v>2</v>
      </c>
      <c r="U871">
        <v>4.5</v>
      </c>
      <c r="V871">
        <v>10</v>
      </c>
      <c r="W871">
        <v>18</v>
      </c>
      <c r="X871">
        <v>4.5</v>
      </c>
      <c r="Z871">
        <v>0</v>
      </c>
    </row>
    <row r="872" spans="1:38" x14ac:dyDescent="0.3">
      <c r="A872">
        <v>325899</v>
      </c>
      <c r="B872" t="s">
        <v>69</v>
      </c>
      <c r="C872" t="s">
        <v>535</v>
      </c>
      <c r="D872">
        <v>2021</v>
      </c>
      <c r="E872" t="s">
        <v>164</v>
      </c>
      <c r="F872" t="s">
        <v>165</v>
      </c>
      <c r="S872">
        <v>3</v>
      </c>
      <c r="T872">
        <v>8</v>
      </c>
      <c r="U872">
        <v>7.5</v>
      </c>
      <c r="V872">
        <v>20</v>
      </c>
      <c r="W872">
        <v>53</v>
      </c>
      <c r="X872">
        <v>12.5</v>
      </c>
      <c r="Z872">
        <v>0</v>
      </c>
      <c r="AK872">
        <v>0</v>
      </c>
      <c r="AL872">
        <v>0</v>
      </c>
    </row>
    <row r="873" spans="1:38" x14ac:dyDescent="0.3">
      <c r="A873">
        <v>325899</v>
      </c>
      <c r="B873" t="s">
        <v>69</v>
      </c>
      <c r="C873" t="s">
        <v>535</v>
      </c>
      <c r="D873">
        <v>2022</v>
      </c>
      <c r="E873" t="s">
        <v>323</v>
      </c>
      <c r="F873" t="s">
        <v>324</v>
      </c>
      <c r="S873">
        <v>1</v>
      </c>
      <c r="T873">
        <v>1</v>
      </c>
      <c r="U873">
        <v>1.5</v>
      </c>
      <c r="V873">
        <v>17</v>
      </c>
      <c r="W873">
        <v>34</v>
      </c>
      <c r="X873">
        <v>4</v>
      </c>
      <c r="Z873">
        <v>0</v>
      </c>
      <c r="AK873">
        <v>0</v>
      </c>
      <c r="AL873">
        <v>0</v>
      </c>
    </row>
    <row r="874" spans="1:38" x14ac:dyDescent="0.3">
      <c r="A874">
        <v>325899</v>
      </c>
      <c r="B874" t="s">
        <v>69</v>
      </c>
      <c r="C874" t="s">
        <v>535</v>
      </c>
      <c r="D874">
        <v>2023</v>
      </c>
      <c r="E874" t="s">
        <v>323</v>
      </c>
      <c r="F874" t="s">
        <v>324</v>
      </c>
      <c r="S874">
        <v>2</v>
      </c>
      <c r="T874">
        <v>8</v>
      </c>
      <c r="U874">
        <v>9</v>
      </c>
      <c r="V874">
        <v>23</v>
      </c>
      <c r="W874">
        <v>39</v>
      </c>
      <c r="X874">
        <v>17</v>
      </c>
      <c r="Z874">
        <v>0</v>
      </c>
    </row>
    <row r="875" spans="1:38" x14ac:dyDescent="0.3">
      <c r="A875">
        <v>325913</v>
      </c>
      <c r="B875" t="s">
        <v>38</v>
      </c>
      <c r="C875" t="s">
        <v>536</v>
      </c>
      <c r="D875">
        <v>2019</v>
      </c>
      <c r="E875" t="s">
        <v>207</v>
      </c>
      <c r="F875" t="s">
        <v>208</v>
      </c>
      <c r="S875">
        <v>0</v>
      </c>
      <c r="T875">
        <v>0</v>
      </c>
      <c r="U875">
        <v>1</v>
      </c>
      <c r="V875">
        <v>5</v>
      </c>
      <c r="W875">
        <v>19</v>
      </c>
      <c r="X875">
        <v>3</v>
      </c>
      <c r="Z875">
        <v>0</v>
      </c>
    </row>
    <row r="876" spans="1:38" x14ac:dyDescent="0.3">
      <c r="A876">
        <v>325913</v>
      </c>
      <c r="B876" t="s">
        <v>38</v>
      </c>
      <c r="C876" t="s">
        <v>536</v>
      </c>
      <c r="D876">
        <v>2020</v>
      </c>
      <c r="E876" t="s">
        <v>207</v>
      </c>
      <c r="F876" t="s">
        <v>208</v>
      </c>
      <c r="S876">
        <v>0</v>
      </c>
      <c r="T876">
        <v>0</v>
      </c>
      <c r="U876">
        <v>3</v>
      </c>
      <c r="V876">
        <v>5</v>
      </c>
      <c r="W876">
        <v>20</v>
      </c>
      <c r="X876">
        <v>4</v>
      </c>
      <c r="Z876">
        <v>0</v>
      </c>
    </row>
    <row r="877" spans="1:38" x14ac:dyDescent="0.3">
      <c r="A877">
        <v>325913</v>
      </c>
      <c r="B877" t="s">
        <v>38</v>
      </c>
      <c r="C877" t="s">
        <v>536</v>
      </c>
      <c r="D877">
        <v>2021</v>
      </c>
      <c r="E877" t="s">
        <v>373</v>
      </c>
      <c r="F877" t="s">
        <v>374</v>
      </c>
      <c r="S877">
        <v>0</v>
      </c>
      <c r="T877">
        <v>1</v>
      </c>
      <c r="U877">
        <v>3</v>
      </c>
      <c r="V877">
        <v>9</v>
      </c>
      <c r="W877">
        <v>42</v>
      </c>
      <c r="X877">
        <v>3</v>
      </c>
      <c r="Z877">
        <v>0</v>
      </c>
    </row>
    <row r="878" spans="1:38" x14ac:dyDescent="0.3">
      <c r="A878">
        <v>325913</v>
      </c>
      <c r="B878" t="s">
        <v>38</v>
      </c>
      <c r="C878" t="s">
        <v>536</v>
      </c>
      <c r="D878">
        <v>2022</v>
      </c>
      <c r="E878" t="s">
        <v>373</v>
      </c>
      <c r="F878" t="s">
        <v>374</v>
      </c>
      <c r="S878">
        <v>0</v>
      </c>
      <c r="T878">
        <v>5</v>
      </c>
      <c r="U878">
        <v>3</v>
      </c>
      <c r="V878">
        <v>15</v>
      </c>
      <c r="W878">
        <v>57</v>
      </c>
      <c r="X878">
        <v>4.5</v>
      </c>
      <c r="Z878">
        <v>0</v>
      </c>
    </row>
    <row r="879" spans="1:38" x14ac:dyDescent="0.3">
      <c r="A879">
        <v>325913</v>
      </c>
      <c r="B879" t="s">
        <v>38</v>
      </c>
      <c r="C879" t="s">
        <v>536</v>
      </c>
      <c r="D879">
        <v>2023</v>
      </c>
      <c r="E879" t="s">
        <v>373</v>
      </c>
      <c r="F879" t="s">
        <v>374</v>
      </c>
      <c r="S879">
        <v>0</v>
      </c>
      <c r="T879">
        <v>2</v>
      </c>
      <c r="U879">
        <v>2</v>
      </c>
      <c r="V879">
        <v>9</v>
      </c>
      <c r="W879">
        <v>27</v>
      </c>
      <c r="X879">
        <v>6</v>
      </c>
      <c r="Z879">
        <v>0</v>
      </c>
    </row>
    <row r="880" spans="1:38" x14ac:dyDescent="0.3">
      <c r="A880">
        <v>325932</v>
      </c>
      <c r="B880" t="s">
        <v>142</v>
      </c>
      <c r="C880" t="s">
        <v>537</v>
      </c>
      <c r="D880">
        <v>2019</v>
      </c>
      <c r="E880" t="s">
        <v>345</v>
      </c>
      <c r="F880" t="s">
        <v>346</v>
      </c>
      <c r="P880">
        <v>30</v>
      </c>
      <c r="Q880">
        <v>4</v>
      </c>
      <c r="R880">
        <v>430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Z880">
        <v>0</v>
      </c>
    </row>
    <row r="881" spans="1:38" x14ac:dyDescent="0.3">
      <c r="A881">
        <v>325932</v>
      </c>
      <c r="B881" t="s">
        <v>142</v>
      </c>
      <c r="C881" t="s">
        <v>537</v>
      </c>
      <c r="D881">
        <v>2020</v>
      </c>
      <c r="E881" t="s">
        <v>345</v>
      </c>
      <c r="F881" t="s">
        <v>346</v>
      </c>
      <c r="P881">
        <v>33</v>
      </c>
      <c r="Q881">
        <v>3</v>
      </c>
      <c r="R881">
        <v>370</v>
      </c>
    </row>
    <row r="882" spans="1:38" x14ac:dyDescent="0.3">
      <c r="A882">
        <v>325932</v>
      </c>
      <c r="B882" t="s">
        <v>142</v>
      </c>
      <c r="C882" t="s">
        <v>537</v>
      </c>
      <c r="D882">
        <v>2021</v>
      </c>
      <c r="E882" t="s">
        <v>345</v>
      </c>
      <c r="F882" t="s">
        <v>346</v>
      </c>
      <c r="P882">
        <v>3</v>
      </c>
      <c r="Q882">
        <v>2</v>
      </c>
      <c r="R882">
        <v>73</v>
      </c>
    </row>
    <row r="883" spans="1:38" x14ac:dyDescent="0.3">
      <c r="A883">
        <v>325932</v>
      </c>
      <c r="B883" t="s">
        <v>142</v>
      </c>
      <c r="C883" t="s">
        <v>537</v>
      </c>
      <c r="D883">
        <v>2022</v>
      </c>
      <c r="E883" t="s">
        <v>345</v>
      </c>
      <c r="F883" t="s">
        <v>346</v>
      </c>
      <c r="P883">
        <v>20</v>
      </c>
      <c r="Q883">
        <v>7</v>
      </c>
      <c r="R883">
        <v>273</v>
      </c>
      <c r="AK883">
        <v>1</v>
      </c>
      <c r="AL883">
        <v>1</v>
      </c>
    </row>
    <row r="884" spans="1:38" x14ac:dyDescent="0.3">
      <c r="A884">
        <v>325932</v>
      </c>
      <c r="B884" t="s">
        <v>142</v>
      </c>
      <c r="C884" t="s">
        <v>537</v>
      </c>
      <c r="D884">
        <v>2023</v>
      </c>
      <c r="E884" t="s">
        <v>228</v>
      </c>
      <c r="F884" t="s">
        <v>229</v>
      </c>
      <c r="P884">
        <v>28</v>
      </c>
      <c r="Q884">
        <v>2</v>
      </c>
      <c r="R884">
        <v>256</v>
      </c>
      <c r="AK884">
        <v>1</v>
      </c>
      <c r="AL884">
        <v>0</v>
      </c>
    </row>
    <row r="885" spans="1:38" x14ac:dyDescent="0.3">
      <c r="A885">
        <v>325932</v>
      </c>
      <c r="B885" t="s">
        <v>142</v>
      </c>
      <c r="C885" t="s">
        <v>537</v>
      </c>
      <c r="D885">
        <v>2024</v>
      </c>
      <c r="E885" t="s">
        <v>228</v>
      </c>
      <c r="F885" t="s">
        <v>229</v>
      </c>
      <c r="P885">
        <v>41</v>
      </c>
      <c r="Q885">
        <v>7</v>
      </c>
      <c r="R885">
        <v>512</v>
      </c>
      <c r="S885">
        <v>0</v>
      </c>
      <c r="T885">
        <v>0</v>
      </c>
      <c r="U885">
        <v>0</v>
      </c>
      <c r="V885">
        <v>1</v>
      </c>
      <c r="W885">
        <v>1</v>
      </c>
      <c r="X885">
        <v>0</v>
      </c>
      <c r="Z885">
        <v>0</v>
      </c>
      <c r="AK885">
        <v>3</v>
      </c>
      <c r="AL885">
        <v>1</v>
      </c>
    </row>
    <row r="886" spans="1:38" x14ac:dyDescent="0.3">
      <c r="A886">
        <v>325952</v>
      </c>
      <c r="B886" t="s">
        <v>42</v>
      </c>
      <c r="C886" t="s">
        <v>538</v>
      </c>
      <c r="D886">
        <v>2019</v>
      </c>
      <c r="E886" t="s">
        <v>40</v>
      </c>
      <c r="F886" t="s">
        <v>41</v>
      </c>
      <c r="S886">
        <v>0</v>
      </c>
      <c r="T886">
        <v>0</v>
      </c>
      <c r="U886">
        <v>0</v>
      </c>
      <c r="V886">
        <v>3</v>
      </c>
      <c r="W886">
        <v>3</v>
      </c>
      <c r="X886">
        <v>0</v>
      </c>
      <c r="Z886">
        <v>0</v>
      </c>
    </row>
    <row r="887" spans="1:38" x14ac:dyDescent="0.3">
      <c r="A887">
        <v>325952</v>
      </c>
      <c r="B887" t="s">
        <v>42</v>
      </c>
      <c r="C887" t="s">
        <v>538</v>
      </c>
      <c r="D887">
        <v>2020</v>
      </c>
      <c r="E887" t="s">
        <v>40</v>
      </c>
      <c r="F887" t="s">
        <v>41</v>
      </c>
      <c r="S887">
        <v>0</v>
      </c>
      <c r="T887">
        <v>1</v>
      </c>
      <c r="U887">
        <v>0</v>
      </c>
      <c r="V887">
        <v>8</v>
      </c>
      <c r="W887">
        <v>9</v>
      </c>
      <c r="X887">
        <v>0</v>
      </c>
      <c r="Z887">
        <v>0</v>
      </c>
    </row>
    <row r="888" spans="1:38" x14ac:dyDescent="0.3">
      <c r="A888">
        <v>325952</v>
      </c>
      <c r="B888" t="s">
        <v>42</v>
      </c>
      <c r="C888" t="s">
        <v>538</v>
      </c>
      <c r="D888">
        <v>2021</v>
      </c>
      <c r="E888" t="s">
        <v>40</v>
      </c>
      <c r="F888" t="s">
        <v>41</v>
      </c>
      <c r="S888">
        <v>1</v>
      </c>
      <c r="T888">
        <v>0</v>
      </c>
      <c r="U888">
        <v>0</v>
      </c>
      <c r="V888">
        <v>6</v>
      </c>
      <c r="W888">
        <v>6</v>
      </c>
      <c r="X888">
        <v>0</v>
      </c>
      <c r="Z888">
        <v>0</v>
      </c>
      <c r="AK888">
        <v>0</v>
      </c>
      <c r="AL888">
        <v>0</v>
      </c>
    </row>
    <row r="889" spans="1:38" x14ac:dyDescent="0.3">
      <c r="A889">
        <v>325952</v>
      </c>
      <c r="B889" t="s">
        <v>42</v>
      </c>
      <c r="C889" t="s">
        <v>538</v>
      </c>
      <c r="D889">
        <v>2022</v>
      </c>
      <c r="E889" t="s">
        <v>40</v>
      </c>
      <c r="F889" t="s">
        <v>41</v>
      </c>
      <c r="S889">
        <v>1</v>
      </c>
      <c r="T889">
        <v>0</v>
      </c>
      <c r="U889">
        <v>1</v>
      </c>
      <c r="V889">
        <v>41</v>
      </c>
      <c r="W889">
        <v>60</v>
      </c>
      <c r="X889">
        <v>4.5</v>
      </c>
      <c r="Y889">
        <v>3</v>
      </c>
      <c r="Z889">
        <v>0</v>
      </c>
    </row>
    <row r="890" spans="1:38" x14ac:dyDescent="0.3">
      <c r="A890">
        <v>325952</v>
      </c>
      <c r="B890" t="s">
        <v>42</v>
      </c>
      <c r="C890" t="s">
        <v>538</v>
      </c>
      <c r="D890">
        <v>2023</v>
      </c>
      <c r="E890" t="s">
        <v>116</v>
      </c>
      <c r="F890" t="s">
        <v>117</v>
      </c>
      <c r="S890">
        <v>1</v>
      </c>
      <c r="T890">
        <v>0</v>
      </c>
      <c r="U890">
        <v>0</v>
      </c>
      <c r="V890">
        <v>35</v>
      </c>
      <c r="W890">
        <v>60</v>
      </c>
      <c r="X890">
        <v>1.5</v>
      </c>
      <c r="Y890">
        <v>1</v>
      </c>
      <c r="Z890">
        <v>0</v>
      </c>
    </row>
    <row r="891" spans="1:38" x14ac:dyDescent="0.3">
      <c r="A891">
        <v>325958</v>
      </c>
      <c r="B891" t="s">
        <v>38</v>
      </c>
      <c r="C891" t="s">
        <v>539</v>
      </c>
      <c r="D891">
        <v>2019</v>
      </c>
      <c r="E891" t="s">
        <v>105</v>
      </c>
      <c r="F891" t="s">
        <v>106</v>
      </c>
      <c r="S891">
        <v>0</v>
      </c>
      <c r="T891">
        <v>0</v>
      </c>
      <c r="U891">
        <v>0</v>
      </c>
      <c r="V891">
        <v>2</v>
      </c>
      <c r="W891">
        <v>7</v>
      </c>
      <c r="X891">
        <v>0</v>
      </c>
      <c r="Z891">
        <v>0</v>
      </c>
    </row>
    <row r="892" spans="1:38" x14ac:dyDescent="0.3">
      <c r="A892">
        <v>325958</v>
      </c>
      <c r="B892" t="s">
        <v>38</v>
      </c>
      <c r="C892" t="s">
        <v>539</v>
      </c>
      <c r="D892">
        <v>2020</v>
      </c>
      <c r="E892" t="s">
        <v>105</v>
      </c>
      <c r="F892" t="s">
        <v>106</v>
      </c>
      <c r="S892">
        <v>0</v>
      </c>
      <c r="T892">
        <v>0</v>
      </c>
      <c r="U892">
        <v>0.5</v>
      </c>
      <c r="V892">
        <v>3</v>
      </c>
      <c r="W892">
        <v>13</v>
      </c>
      <c r="X892">
        <v>0.5</v>
      </c>
      <c r="Z892">
        <v>0</v>
      </c>
    </row>
    <row r="893" spans="1:38" x14ac:dyDescent="0.3">
      <c r="A893">
        <v>325958</v>
      </c>
      <c r="B893" t="s">
        <v>38</v>
      </c>
      <c r="C893" t="s">
        <v>539</v>
      </c>
      <c r="D893">
        <v>2021</v>
      </c>
      <c r="E893" t="s">
        <v>105</v>
      </c>
      <c r="F893" t="s">
        <v>106</v>
      </c>
      <c r="S893">
        <v>0</v>
      </c>
      <c r="T893">
        <v>0</v>
      </c>
      <c r="U893">
        <v>0</v>
      </c>
      <c r="V893">
        <v>3</v>
      </c>
      <c r="W893">
        <v>8</v>
      </c>
      <c r="X893">
        <v>2</v>
      </c>
      <c r="Z893">
        <v>0</v>
      </c>
    </row>
    <row r="894" spans="1:38" x14ac:dyDescent="0.3">
      <c r="A894">
        <v>325958</v>
      </c>
      <c r="B894" t="s">
        <v>38</v>
      </c>
      <c r="C894" t="s">
        <v>539</v>
      </c>
      <c r="D894">
        <v>2022</v>
      </c>
      <c r="E894" t="s">
        <v>526</v>
      </c>
      <c r="F894" t="s">
        <v>527</v>
      </c>
      <c r="S894">
        <v>0</v>
      </c>
      <c r="T894">
        <v>1</v>
      </c>
      <c r="U894">
        <v>1.5</v>
      </c>
      <c r="V894">
        <v>7</v>
      </c>
      <c r="W894">
        <v>16</v>
      </c>
      <c r="X894">
        <v>3.5</v>
      </c>
      <c r="Z894">
        <v>0</v>
      </c>
    </row>
    <row r="895" spans="1:38" x14ac:dyDescent="0.3">
      <c r="A895">
        <v>325958</v>
      </c>
      <c r="B895" t="s">
        <v>38</v>
      </c>
      <c r="C895" t="s">
        <v>539</v>
      </c>
      <c r="D895">
        <v>2023</v>
      </c>
      <c r="E895" t="s">
        <v>526</v>
      </c>
      <c r="F895" t="s">
        <v>527</v>
      </c>
      <c r="S895">
        <v>0</v>
      </c>
      <c r="T895">
        <v>0</v>
      </c>
      <c r="U895">
        <v>2</v>
      </c>
      <c r="V895">
        <v>11</v>
      </c>
      <c r="W895">
        <v>18</v>
      </c>
      <c r="X895">
        <v>2.5</v>
      </c>
      <c r="Z895">
        <v>0</v>
      </c>
    </row>
    <row r="896" spans="1:38" x14ac:dyDescent="0.3">
      <c r="A896">
        <v>325958</v>
      </c>
      <c r="B896" t="s">
        <v>38</v>
      </c>
      <c r="C896" t="s">
        <v>539</v>
      </c>
      <c r="D896">
        <v>2024</v>
      </c>
      <c r="E896" t="s">
        <v>526</v>
      </c>
      <c r="F896" t="s">
        <v>527</v>
      </c>
      <c r="S896">
        <v>0</v>
      </c>
      <c r="T896">
        <v>0</v>
      </c>
      <c r="U896">
        <v>1</v>
      </c>
      <c r="V896">
        <v>1</v>
      </c>
      <c r="W896">
        <v>5</v>
      </c>
      <c r="X896">
        <v>1.5</v>
      </c>
      <c r="Z896">
        <v>0</v>
      </c>
    </row>
    <row r="897" spans="1:38" x14ac:dyDescent="0.3">
      <c r="A897">
        <v>326124</v>
      </c>
      <c r="B897" t="s">
        <v>84</v>
      </c>
      <c r="C897" t="s">
        <v>540</v>
      </c>
      <c r="D897">
        <v>2019</v>
      </c>
      <c r="E897" t="s">
        <v>71</v>
      </c>
      <c r="F897" t="s">
        <v>72</v>
      </c>
      <c r="S897">
        <v>2</v>
      </c>
      <c r="T897">
        <v>1</v>
      </c>
      <c r="U897">
        <v>2.5</v>
      </c>
      <c r="V897">
        <v>13</v>
      </c>
      <c r="W897">
        <v>34</v>
      </c>
      <c r="X897">
        <v>4</v>
      </c>
      <c r="Y897">
        <v>1</v>
      </c>
      <c r="Z897">
        <v>0</v>
      </c>
    </row>
    <row r="898" spans="1:38" x14ac:dyDescent="0.3">
      <c r="A898">
        <v>326124</v>
      </c>
      <c r="B898" t="s">
        <v>84</v>
      </c>
      <c r="C898" t="s">
        <v>540</v>
      </c>
      <c r="D898">
        <v>2020</v>
      </c>
      <c r="E898" t="s">
        <v>71</v>
      </c>
      <c r="F898" t="s">
        <v>72</v>
      </c>
      <c r="S898">
        <v>1</v>
      </c>
      <c r="T898">
        <v>5</v>
      </c>
      <c r="U898">
        <v>3</v>
      </c>
      <c r="V898">
        <v>25</v>
      </c>
      <c r="W898">
        <v>58</v>
      </c>
      <c r="X898">
        <v>9.5</v>
      </c>
      <c r="Z898">
        <v>0</v>
      </c>
    </row>
    <row r="899" spans="1:38" x14ac:dyDescent="0.3">
      <c r="A899">
        <v>326124</v>
      </c>
      <c r="B899" t="s">
        <v>84</v>
      </c>
      <c r="C899" t="s">
        <v>540</v>
      </c>
      <c r="D899">
        <v>2021</v>
      </c>
      <c r="E899" t="s">
        <v>71</v>
      </c>
      <c r="F899" t="s">
        <v>72</v>
      </c>
      <c r="S899">
        <v>1</v>
      </c>
      <c r="T899">
        <v>9</v>
      </c>
      <c r="U899">
        <v>6</v>
      </c>
      <c r="V899">
        <v>48</v>
      </c>
      <c r="W899">
        <v>99</v>
      </c>
      <c r="X899">
        <v>13.5</v>
      </c>
      <c r="Y899">
        <v>3</v>
      </c>
      <c r="Z899">
        <v>1</v>
      </c>
    </row>
    <row r="900" spans="1:38" x14ac:dyDescent="0.3">
      <c r="A900">
        <v>326124</v>
      </c>
      <c r="B900" t="s">
        <v>84</v>
      </c>
      <c r="C900" t="s">
        <v>540</v>
      </c>
      <c r="D900">
        <v>2022</v>
      </c>
      <c r="E900" t="s">
        <v>71</v>
      </c>
      <c r="F900" t="s">
        <v>72</v>
      </c>
      <c r="S900">
        <v>4</v>
      </c>
      <c r="T900">
        <v>23</v>
      </c>
      <c r="U900">
        <v>7.5</v>
      </c>
      <c r="V900">
        <v>45</v>
      </c>
      <c r="W900">
        <v>91</v>
      </c>
      <c r="X900">
        <v>16</v>
      </c>
      <c r="Z900">
        <v>0</v>
      </c>
    </row>
    <row r="901" spans="1:38" x14ac:dyDescent="0.3">
      <c r="A901">
        <v>326147</v>
      </c>
      <c r="B901" t="s">
        <v>142</v>
      </c>
      <c r="C901" t="s">
        <v>541</v>
      </c>
      <c r="D901">
        <v>2019</v>
      </c>
      <c r="E901" t="s">
        <v>467</v>
      </c>
      <c r="F901" t="s">
        <v>468</v>
      </c>
      <c r="P901">
        <v>1</v>
      </c>
      <c r="Q901">
        <v>1</v>
      </c>
      <c r="R901">
        <v>13</v>
      </c>
    </row>
    <row r="902" spans="1:38" x14ac:dyDescent="0.3">
      <c r="A902">
        <v>326147</v>
      </c>
      <c r="B902" t="s">
        <v>142</v>
      </c>
      <c r="C902" t="s">
        <v>541</v>
      </c>
      <c r="D902">
        <v>2022</v>
      </c>
      <c r="E902" t="s">
        <v>467</v>
      </c>
      <c r="F902" t="s">
        <v>468</v>
      </c>
      <c r="P902">
        <v>24</v>
      </c>
      <c r="Q902">
        <v>4</v>
      </c>
      <c r="R902">
        <v>301</v>
      </c>
    </row>
    <row r="903" spans="1:38" x14ac:dyDescent="0.3">
      <c r="A903">
        <v>326147</v>
      </c>
      <c r="B903" t="s">
        <v>142</v>
      </c>
      <c r="C903" t="s">
        <v>541</v>
      </c>
      <c r="D903">
        <v>2023</v>
      </c>
      <c r="E903" t="s">
        <v>467</v>
      </c>
      <c r="F903" t="s">
        <v>468</v>
      </c>
      <c r="P903">
        <v>26</v>
      </c>
      <c r="Q903">
        <v>7</v>
      </c>
      <c r="R903">
        <v>399</v>
      </c>
      <c r="AK903">
        <v>2</v>
      </c>
      <c r="AL903">
        <v>2</v>
      </c>
    </row>
    <row r="904" spans="1:38" x14ac:dyDescent="0.3">
      <c r="A904">
        <v>326204</v>
      </c>
      <c r="B904" t="s">
        <v>46</v>
      </c>
      <c r="C904" t="s">
        <v>542</v>
      </c>
      <c r="D904">
        <v>2019</v>
      </c>
      <c r="E904" t="s">
        <v>396</v>
      </c>
      <c r="F904" t="s">
        <v>397</v>
      </c>
      <c r="G904">
        <v>17</v>
      </c>
      <c r="H904">
        <v>12</v>
      </c>
      <c r="I904">
        <v>133</v>
      </c>
      <c r="J904">
        <v>0.70599999999999996</v>
      </c>
      <c r="K904">
        <v>2</v>
      </c>
      <c r="L904">
        <v>0</v>
      </c>
      <c r="M904">
        <v>40</v>
      </c>
      <c r="N904">
        <v>255</v>
      </c>
      <c r="O904">
        <v>3</v>
      </c>
      <c r="P904">
        <v>1</v>
      </c>
      <c r="Q904">
        <v>0</v>
      </c>
      <c r="R904">
        <v>4</v>
      </c>
      <c r="AK904">
        <v>2</v>
      </c>
      <c r="AL904">
        <v>1</v>
      </c>
    </row>
    <row r="905" spans="1:38" x14ac:dyDescent="0.3">
      <c r="A905">
        <v>326204</v>
      </c>
      <c r="B905" t="s">
        <v>46</v>
      </c>
      <c r="C905" t="s">
        <v>542</v>
      </c>
      <c r="D905">
        <v>2020</v>
      </c>
      <c r="E905" t="s">
        <v>396</v>
      </c>
      <c r="F905" t="s">
        <v>397</v>
      </c>
      <c r="G905">
        <v>34</v>
      </c>
      <c r="H905">
        <v>20</v>
      </c>
      <c r="I905">
        <v>213</v>
      </c>
      <c r="J905">
        <v>0.58799999999999997</v>
      </c>
      <c r="K905">
        <v>2</v>
      </c>
      <c r="L905">
        <v>2</v>
      </c>
      <c r="M905">
        <v>40</v>
      </c>
      <c r="N905">
        <v>204</v>
      </c>
      <c r="O905">
        <v>1</v>
      </c>
      <c r="AK905">
        <v>2</v>
      </c>
      <c r="AL905">
        <v>0</v>
      </c>
    </row>
    <row r="906" spans="1:38" x14ac:dyDescent="0.3">
      <c r="A906">
        <v>326204</v>
      </c>
      <c r="B906" t="s">
        <v>46</v>
      </c>
      <c r="C906" t="s">
        <v>542</v>
      </c>
      <c r="D906">
        <v>2021</v>
      </c>
      <c r="E906" t="s">
        <v>396</v>
      </c>
      <c r="F906" t="s">
        <v>397</v>
      </c>
      <c r="G906">
        <v>138</v>
      </c>
      <c r="H906">
        <v>74</v>
      </c>
      <c r="I906">
        <v>971</v>
      </c>
      <c r="J906">
        <v>0.53600000000000003</v>
      </c>
      <c r="K906">
        <v>6</v>
      </c>
      <c r="L906">
        <v>3</v>
      </c>
      <c r="M906">
        <v>68</v>
      </c>
      <c r="N906">
        <v>385</v>
      </c>
      <c r="O906">
        <v>1</v>
      </c>
      <c r="P906">
        <v>4</v>
      </c>
      <c r="Q906">
        <v>0</v>
      </c>
      <c r="R906">
        <v>36</v>
      </c>
      <c r="AK906">
        <v>7</v>
      </c>
      <c r="AL906">
        <v>4</v>
      </c>
    </row>
    <row r="907" spans="1:38" x14ac:dyDescent="0.3">
      <c r="A907">
        <v>326204</v>
      </c>
      <c r="B907" t="s">
        <v>46</v>
      </c>
      <c r="C907" t="s">
        <v>542</v>
      </c>
      <c r="D907">
        <v>2022</v>
      </c>
      <c r="E907" t="s">
        <v>396</v>
      </c>
      <c r="F907" t="s">
        <v>397</v>
      </c>
      <c r="M907">
        <v>3</v>
      </c>
      <c r="N907">
        <v>23</v>
      </c>
      <c r="O907">
        <v>0</v>
      </c>
      <c r="P907">
        <v>6</v>
      </c>
      <c r="Q907">
        <v>1</v>
      </c>
      <c r="R907">
        <v>62</v>
      </c>
    </row>
    <row r="908" spans="1:38" x14ac:dyDescent="0.3">
      <c r="A908">
        <v>326204</v>
      </c>
      <c r="B908" t="s">
        <v>46</v>
      </c>
      <c r="C908" t="s">
        <v>542</v>
      </c>
      <c r="D908">
        <v>2023</v>
      </c>
      <c r="E908" t="s">
        <v>396</v>
      </c>
      <c r="F908" t="s">
        <v>397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48</v>
      </c>
      <c r="Q908">
        <v>8</v>
      </c>
      <c r="R908">
        <v>728</v>
      </c>
      <c r="AK908">
        <v>1</v>
      </c>
      <c r="AL908">
        <v>0</v>
      </c>
    </row>
    <row r="909" spans="1:38" x14ac:dyDescent="0.3">
      <c r="A909">
        <v>326204</v>
      </c>
      <c r="B909" t="s">
        <v>46</v>
      </c>
      <c r="C909" t="s">
        <v>542</v>
      </c>
      <c r="D909">
        <v>2024</v>
      </c>
      <c r="E909" t="s">
        <v>396</v>
      </c>
      <c r="F909" t="s">
        <v>397</v>
      </c>
      <c r="G909">
        <v>2</v>
      </c>
      <c r="H909">
        <v>2</v>
      </c>
      <c r="I909">
        <v>42</v>
      </c>
      <c r="J909">
        <v>1</v>
      </c>
      <c r="K909">
        <v>2</v>
      </c>
      <c r="L909">
        <v>0</v>
      </c>
      <c r="M909">
        <v>1</v>
      </c>
      <c r="N909">
        <v>-9</v>
      </c>
      <c r="O909">
        <v>0</v>
      </c>
      <c r="P909">
        <v>104</v>
      </c>
      <c r="Q909">
        <v>16</v>
      </c>
      <c r="R909">
        <v>1382</v>
      </c>
      <c r="S909">
        <v>0</v>
      </c>
      <c r="T909">
        <v>0</v>
      </c>
      <c r="U909">
        <v>0</v>
      </c>
      <c r="V909">
        <v>4</v>
      </c>
      <c r="W909">
        <v>4</v>
      </c>
      <c r="X909">
        <v>0</v>
      </c>
      <c r="Z909">
        <v>0</v>
      </c>
      <c r="AK909">
        <v>3</v>
      </c>
      <c r="AL909">
        <v>2</v>
      </c>
    </row>
    <row r="910" spans="1:38" x14ac:dyDescent="0.3">
      <c r="A910">
        <v>326396</v>
      </c>
      <c r="B910" t="s">
        <v>214</v>
      </c>
      <c r="C910" t="s">
        <v>543</v>
      </c>
      <c r="D910">
        <v>2022</v>
      </c>
      <c r="E910" t="s">
        <v>145</v>
      </c>
      <c r="F910" t="s">
        <v>146</v>
      </c>
      <c r="P910">
        <v>0</v>
      </c>
      <c r="Q910">
        <v>0</v>
      </c>
      <c r="R910">
        <v>-5</v>
      </c>
      <c r="AK910">
        <v>1</v>
      </c>
      <c r="AL910">
        <v>1</v>
      </c>
    </row>
    <row r="911" spans="1:38" x14ac:dyDescent="0.3">
      <c r="A911">
        <v>326405</v>
      </c>
      <c r="B911" t="s">
        <v>50</v>
      </c>
      <c r="C911" t="s">
        <v>544</v>
      </c>
      <c r="D911">
        <v>2023</v>
      </c>
      <c r="E911" t="s">
        <v>95</v>
      </c>
      <c r="F911" t="s">
        <v>96</v>
      </c>
      <c r="S911">
        <v>4</v>
      </c>
      <c r="T911">
        <v>0</v>
      </c>
      <c r="U911">
        <v>0</v>
      </c>
      <c r="V911">
        <v>19</v>
      </c>
      <c r="W911">
        <v>28</v>
      </c>
      <c r="X911">
        <v>2</v>
      </c>
      <c r="Z911">
        <v>0</v>
      </c>
      <c r="AK911">
        <v>0</v>
      </c>
      <c r="AL911">
        <v>0</v>
      </c>
    </row>
    <row r="912" spans="1:38" x14ac:dyDescent="0.3">
      <c r="A912">
        <v>326444</v>
      </c>
      <c r="B912" t="s">
        <v>50</v>
      </c>
      <c r="C912" t="s">
        <v>545</v>
      </c>
      <c r="D912">
        <v>2019</v>
      </c>
      <c r="E912" t="s">
        <v>546</v>
      </c>
      <c r="F912" t="s">
        <v>547</v>
      </c>
      <c r="S912">
        <v>4</v>
      </c>
      <c r="T912">
        <v>1</v>
      </c>
      <c r="U912">
        <v>0</v>
      </c>
      <c r="V912">
        <v>15</v>
      </c>
      <c r="W912">
        <v>18</v>
      </c>
      <c r="X912">
        <v>1</v>
      </c>
      <c r="Z912">
        <v>0</v>
      </c>
    </row>
    <row r="913" spans="1:31" x14ac:dyDescent="0.3">
      <c r="A913">
        <v>326444</v>
      </c>
      <c r="B913" t="s">
        <v>50</v>
      </c>
      <c r="C913" t="s">
        <v>545</v>
      </c>
      <c r="D913">
        <v>2020</v>
      </c>
      <c r="E913" t="s">
        <v>546</v>
      </c>
      <c r="F913" t="s">
        <v>547</v>
      </c>
      <c r="S913">
        <v>0</v>
      </c>
      <c r="T913">
        <v>0</v>
      </c>
      <c r="U913">
        <v>0</v>
      </c>
      <c r="V913">
        <v>5</v>
      </c>
      <c r="W913">
        <v>6</v>
      </c>
      <c r="X913">
        <v>0</v>
      </c>
      <c r="Z913">
        <v>0</v>
      </c>
      <c r="AA913">
        <v>21.5</v>
      </c>
      <c r="AB913">
        <v>24</v>
      </c>
      <c r="AC913">
        <v>2</v>
      </c>
      <c r="AD913">
        <v>0</v>
      </c>
      <c r="AE913">
        <v>43</v>
      </c>
    </row>
    <row r="914" spans="1:31" x14ac:dyDescent="0.3">
      <c r="A914">
        <v>326444</v>
      </c>
      <c r="B914" t="s">
        <v>50</v>
      </c>
      <c r="C914" t="s">
        <v>545</v>
      </c>
      <c r="D914">
        <v>2021</v>
      </c>
      <c r="E914" t="s">
        <v>546</v>
      </c>
      <c r="F914" t="s">
        <v>547</v>
      </c>
      <c r="S914">
        <v>1</v>
      </c>
      <c r="T914">
        <v>0</v>
      </c>
      <c r="U914">
        <v>0</v>
      </c>
      <c r="V914">
        <v>12</v>
      </c>
      <c r="W914">
        <v>13</v>
      </c>
      <c r="X914">
        <v>0</v>
      </c>
      <c r="Y914">
        <v>1</v>
      </c>
      <c r="Z914">
        <v>0</v>
      </c>
      <c r="AA914">
        <v>24</v>
      </c>
      <c r="AB914">
        <v>24</v>
      </c>
      <c r="AC914">
        <v>1</v>
      </c>
      <c r="AD914">
        <v>0</v>
      </c>
      <c r="AE914">
        <v>24</v>
      </c>
    </row>
    <row r="915" spans="1:31" x14ac:dyDescent="0.3">
      <c r="A915">
        <v>326444</v>
      </c>
      <c r="B915" t="s">
        <v>50</v>
      </c>
      <c r="C915" t="s">
        <v>545</v>
      </c>
      <c r="D915">
        <v>2022</v>
      </c>
      <c r="E915" t="s">
        <v>546</v>
      </c>
      <c r="F915" t="s">
        <v>547</v>
      </c>
      <c r="S915">
        <v>12</v>
      </c>
      <c r="T915">
        <v>0</v>
      </c>
      <c r="U915">
        <v>0</v>
      </c>
      <c r="V915">
        <v>15</v>
      </c>
      <c r="W915">
        <v>22</v>
      </c>
      <c r="X915">
        <v>0</v>
      </c>
      <c r="Y915">
        <v>2</v>
      </c>
      <c r="Z915">
        <v>0</v>
      </c>
      <c r="AA915">
        <v>13.5</v>
      </c>
      <c r="AB915">
        <v>18</v>
      </c>
      <c r="AC915">
        <v>2</v>
      </c>
      <c r="AD915">
        <v>0</v>
      </c>
      <c r="AE915">
        <v>27</v>
      </c>
    </row>
    <row r="916" spans="1:31" x14ac:dyDescent="0.3">
      <c r="A916">
        <v>326448</v>
      </c>
      <c r="B916" t="s">
        <v>100</v>
      </c>
      <c r="C916" t="s">
        <v>548</v>
      </c>
      <c r="D916">
        <v>2022</v>
      </c>
      <c r="E916" t="s">
        <v>549</v>
      </c>
      <c r="F916" t="s">
        <v>550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0</v>
      </c>
      <c r="Z916">
        <v>0</v>
      </c>
    </row>
    <row r="917" spans="1:31" x14ac:dyDescent="0.3">
      <c r="A917">
        <v>326470</v>
      </c>
      <c r="B917" t="s">
        <v>84</v>
      </c>
      <c r="C917" t="s">
        <v>551</v>
      </c>
      <c r="D917">
        <v>2019</v>
      </c>
      <c r="E917" t="s">
        <v>48</v>
      </c>
      <c r="F917" t="s">
        <v>49</v>
      </c>
      <c r="S917">
        <v>0</v>
      </c>
      <c r="T917">
        <v>0</v>
      </c>
      <c r="U917">
        <v>1</v>
      </c>
      <c r="V917">
        <v>4</v>
      </c>
      <c r="W917">
        <v>5</v>
      </c>
      <c r="X917">
        <v>1.5</v>
      </c>
      <c r="Z917">
        <v>0</v>
      </c>
    </row>
    <row r="918" spans="1:31" x14ac:dyDescent="0.3">
      <c r="A918">
        <v>326470</v>
      </c>
      <c r="B918" t="s">
        <v>84</v>
      </c>
      <c r="C918" t="s">
        <v>551</v>
      </c>
      <c r="D918">
        <v>2020</v>
      </c>
      <c r="E918" t="s">
        <v>48</v>
      </c>
      <c r="F918" t="s">
        <v>49</v>
      </c>
      <c r="S918">
        <v>0</v>
      </c>
      <c r="T918">
        <v>1</v>
      </c>
      <c r="U918">
        <v>1</v>
      </c>
      <c r="V918">
        <v>11</v>
      </c>
      <c r="W918">
        <v>15</v>
      </c>
      <c r="X918">
        <v>3</v>
      </c>
      <c r="Z918">
        <v>0</v>
      </c>
    </row>
    <row r="919" spans="1:31" x14ac:dyDescent="0.3">
      <c r="A919">
        <v>326470</v>
      </c>
      <c r="B919" t="s">
        <v>84</v>
      </c>
      <c r="C919" t="s">
        <v>551</v>
      </c>
      <c r="D919">
        <v>2021</v>
      </c>
      <c r="E919" t="s">
        <v>48</v>
      </c>
      <c r="F919" t="s">
        <v>49</v>
      </c>
      <c r="S919">
        <v>0</v>
      </c>
      <c r="T919">
        <v>1</v>
      </c>
      <c r="U919">
        <v>0</v>
      </c>
      <c r="V919">
        <v>13</v>
      </c>
      <c r="W919">
        <v>25</v>
      </c>
      <c r="X919">
        <v>1</v>
      </c>
      <c r="Z919">
        <v>0</v>
      </c>
    </row>
    <row r="920" spans="1:31" x14ac:dyDescent="0.3">
      <c r="A920">
        <v>326470</v>
      </c>
      <c r="B920" t="s">
        <v>84</v>
      </c>
      <c r="C920" t="s">
        <v>551</v>
      </c>
      <c r="D920">
        <v>2022</v>
      </c>
      <c r="E920" t="s">
        <v>48</v>
      </c>
      <c r="F920" t="s">
        <v>49</v>
      </c>
      <c r="S920">
        <v>2</v>
      </c>
      <c r="T920">
        <v>4</v>
      </c>
      <c r="U920">
        <v>1.5</v>
      </c>
      <c r="V920">
        <v>48</v>
      </c>
      <c r="W920">
        <v>85</v>
      </c>
      <c r="X920">
        <v>10.5</v>
      </c>
      <c r="Z920">
        <v>0</v>
      </c>
    </row>
    <row r="921" spans="1:31" x14ac:dyDescent="0.3">
      <c r="A921">
        <v>326470</v>
      </c>
      <c r="B921" t="s">
        <v>84</v>
      </c>
      <c r="C921" t="s">
        <v>551</v>
      </c>
      <c r="D921">
        <v>2023</v>
      </c>
      <c r="E921" t="s">
        <v>48</v>
      </c>
      <c r="F921" t="s">
        <v>49</v>
      </c>
      <c r="S921">
        <v>3</v>
      </c>
      <c r="T921">
        <v>1</v>
      </c>
      <c r="U921">
        <v>6.5</v>
      </c>
      <c r="V921">
        <v>77</v>
      </c>
      <c r="W921">
        <v>108</v>
      </c>
      <c r="X921">
        <v>20</v>
      </c>
      <c r="Z921">
        <v>0</v>
      </c>
    </row>
    <row r="922" spans="1:31" x14ac:dyDescent="0.3">
      <c r="A922">
        <v>326492</v>
      </c>
      <c r="B922" t="s">
        <v>50</v>
      </c>
      <c r="C922" t="s">
        <v>552</v>
      </c>
      <c r="D922">
        <v>2019</v>
      </c>
      <c r="E922" t="s">
        <v>553</v>
      </c>
      <c r="F922" t="s">
        <v>554</v>
      </c>
      <c r="S922">
        <v>0</v>
      </c>
      <c r="T922">
        <v>0</v>
      </c>
      <c r="U922">
        <v>0</v>
      </c>
      <c r="V922">
        <v>5</v>
      </c>
      <c r="W922">
        <v>6</v>
      </c>
      <c r="X922">
        <v>0</v>
      </c>
      <c r="Z922">
        <v>0</v>
      </c>
    </row>
    <row r="923" spans="1:31" x14ac:dyDescent="0.3">
      <c r="A923">
        <v>326492</v>
      </c>
      <c r="B923" t="s">
        <v>50</v>
      </c>
      <c r="C923" t="s">
        <v>552</v>
      </c>
      <c r="D923">
        <v>2021</v>
      </c>
      <c r="E923" t="s">
        <v>553</v>
      </c>
      <c r="F923" t="s">
        <v>554</v>
      </c>
      <c r="S923">
        <v>2</v>
      </c>
      <c r="T923">
        <v>0</v>
      </c>
      <c r="U923">
        <v>0</v>
      </c>
      <c r="V923">
        <v>5</v>
      </c>
      <c r="W923">
        <v>8</v>
      </c>
      <c r="X923">
        <v>0</v>
      </c>
      <c r="Z923">
        <v>0</v>
      </c>
    </row>
    <row r="924" spans="1:31" x14ac:dyDescent="0.3">
      <c r="A924">
        <v>326492</v>
      </c>
      <c r="B924" t="s">
        <v>50</v>
      </c>
      <c r="C924" t="s">
        <v>552</v>
      </c>
      <c r="D924">
        <v>2022</v>
      </c>
      <c r="E924" t="s">
        <v>555</v>
      </c>
      <c r="F924" t="s">
        <v>556</v>
      </c>
      <c r="S924">
        <v>7</v>
      </c>
      <c r="T924">
        <v>1</v>
      </c>
      <c r="U924">
        <v>0</v>
      </c>
      <c r="V924">
        <v>28</v>
      </c>
      <c r="W924">
        <v>41</v>
      </c>
      <c r="X924">
        <v>1</v>
      </c>
      <c r="Y924">
        <v>3</v>
      </c>
      <c r="Z924">
        <v>0</v>
      </c>
    </row>
    <row r="925" spans="1:31" x14ac:dyDescent="0.3">
      <c r="A925">
        <v>326492</v>
      </c>
      <c r="B925" t="s">
        <v>50</v>
      </c>
      <c r="C925" t="s">
        <v>552</v>
      </c>
      <c r="D925">
        <v>2023</v>
      </c>
      <c r="E925" t="s">
        <v>555</v>
      </c>
      <c r="F925" t="s">
        <v>556</v>
      </c>
      <c r="S925">
        <v>10</v>
      </c>
      <c r="T925">
        <v>1</v>
      </c>
      <c r="U925">
        <v>1</v>
      </c>
      <c r="V925">
        <v>35</v>
      </c>
      <c r="W925">
        <v>48</v>
      </c>
      <c r="X925">
        <v>3.5</v>
      </c>
      <c r="Y925">
        <v>3</v>
      </c>
      <c r="Z925">
        <v>0</v>
      </c>
    </row>
    <row r="926" spans="1:31" x14ac:dyDescent="0.3">
      <c r="A926">
        <v>326531</v>
      </c>
      <c r="B926" t="s">
        <v>46</v>
      </c>
      <c r="C926" t="s">
        <v>557</v>
      </c>
      <c r="D926">
        <v>2019</v>
      </c>
      <c r="E926" t="s">
        <v>152</v>
      </c>
      <c r="F926" t="s">
        <v>153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P926">
        <v>11</v>
      </c>
      <c r="Q926">
        <v>0</v>
      </c>
      <c r="R926">
        <v>132</v>
      </c>
    </row>
    <row r="927" spans="1:31" x14ac:dyDescent="0.3">
      <c r="A927">
        <v>326531</v>
      </c>
      <c r="B927" t="s">
        <v>46</v>
      </c>
      <c r="C927" t="s">
        <v>557</v>
      </c>
      <c r="D927">
        <v>2020</v>
      </c>
      <c r="E927" t="s">
        <v>152</v>
      </c>
      <c r="F927" t="s">
        <v>153</v>
      </c>
      <c r="P927">
        <v>10</v>
      </c>
      <c r="Q927">
        <v>0</v>
      </c>
      <c r="R927">
        <v>106</v>
      </c>
    </row>
    <row r="928" spans="1:31" x14ac:dyDescent="0.3">
      <c r="A928">
        <v>326531</v>
      </c>
      <c r="B928" t="s">
        <v>46</v>
      </c>
      <c r="C928" t="s">
        <v>557</v>
      </c>
      <c r="D928">
        <v>2021</v>
      </c>
      <c r="E928" t="s">
        <v>152</v>
      </c>
      <c r="F928" t="s">
        <v>153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30</v>
      </c>
      <c r="O928">
        <v>1</v>
      </c>
      <c r="P928">
        <v>21</v>
      </c>
      <c r="Q928">
        <v>0</v>
      </c>
      <c r="R928">
        <v>294</v>
      </c>
    </row>
    <row r="929" spans="1:38" x14ac:dyDescent="0.3">
      <c r="A929">
        <v>326531</v>
      </c>
      <c r="B929" t="s">
        <v>46</v>
      </c>
      <c r="C929" t="s">
        <v>557</v>
      </c>
      <c r="D929">
        <v>2022</v>
      </c>
      <c r="E929" t="s">
        <v>152</v>
      </c>
      <c r="F929" t="s">
        <v>153</v>
      </c>
      <c r="P929">
        <v>31</v>
      </c>
      <c r="Q929">
        <v>0</v>
      </c>
      <c r="R929">
        <v>295</v>
      </c>
    </row>
    <row r="930" spans="1:38" x14ac:dyDescent="0.3">
      <c r="A930">
        <v>326531</v>
      </c>
      <c r="B930" t="s">
        <v>46</v>
      </c>
      <c r="C930" t="s">
        <v>557</v>
      </c>
      <c r="D930">
        <v>2023</v>
      </c>
      <c r="E930" t="s">
        <v>152</v>
      </c>
      <c r="F930" t="s">
        <v>153</v>
      </c>
      <c r="P930">
        <v>49</v>
      </c>
      <c r="Q930">
        <v>4</v>
      </c>
      <c r="R930">
        <v>670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0</v>
      </c>
      <c r="Z930">
        <v>0</v>
      </c>
    </row>
    <row r="931" spans="1:38" x14ac:dyDescent="0.3">
      <c r="A931">
        <v>326546</v>
      </c>
      <c r="B931" t="s">
        <v>42</v>
      </c>
      <c r="C931" t="s">
        <v>558</v>
      </c>
      <c r="D931">
        <v>2019</v>
      </c>
      <c r="E931" t="s">
        <v>454</v>
      </c>
      <c r="F931" t="s">
        <v>455</v>
      </c>
      <c r="S931">
        <v>1</v>
      </c>
      <c r="T931">
        <v>0</v>
      </c>
      <c r="U931">
        <v>0</v>
      </c>
      <c r="V931">
        <v>7</v>
      </c>
      <c r="W931">
        <v>11</v>
      </c>
      <c r="X931">
        <v>0</v>
      </c>
      <c r="Z931">
        <v>0</v>
      </c>
    </row>
    <row r="932" spans="1:38" x14ac:dyDescent="0.3">
      <c r="A932">
        <v>326546</v>
      </c>
      <c r="B932" t="s">
        <v>42</v>
      </c>
      <c r="C932" t="s">
        <v>558</v>
      </c>
      <c r="D932">
        <v>2021</v>
      </c>
      <c r="E932" t="s">
        <v>454</v>
      </c>
      <c r="F932" t="s">
        <v>455</v>
      </c>
      <c r="S932">
        <v>0</v>
      </c>
      <c r="T932">
        <v>0</v>
      </c>
      <c r="U932">
        <v>0</v>
      </c>
      <c r="V932">
        <v>5</v>
      </c>
      <c r="W932">
        <v>8</v>
      </c>
      <c r="X932">
        <v>1</v>
      </c>
      <c r="Z932">
        <v>0</v>
      </c>
    </row>
    <row r="933" spans="1:38" x14ac:dyDescent="0.3">
      <c r="A933">
        <v>326546</v>
      </c>
      <c r="B933" t="s">
        <v>42</v>
      </c>
      <c r="C933" t="s">
        <v>558</v>
      </c>
      <c r="D933">
        <v>2022</v>
      </c>
      <c r="E933" t="s">
        <v>197</v>
      </c>
      <c r="F933" t="s">
        <v>198</v>
      </c>
      <c r="S933">
        <v>0</v>
      </c>
      <c r="T933">
        <v>0</v>
      </c>
      <c r="U933">
        <v>1</v>
      </c>
      <c r="V933">
        <v>1</v>
      </c>
      <c r="W933">
        <v>5</v>
      </c>
      <c r="X933">
        <v>0</v>
      </c>
      <c r="Z933">
        <v>0</v>
      </c>
    </row>
    <row r="934" spans="1:38" x14ac:dyDescent="0.3">
      <c r="A934">
        <v>326546</v>
      </c>
      <c r="B934" t="s">
        <v>42</v>
      </c>
      <c r="C934" t="s">
        <v>558</v>
      </c>
      <c r="D934">
        <v>2023</v>
      </c>
      <c r="E934" t="s">
        <v>197</v>
      </c>
      <c r="F934" t="s">
        <v>198</v>
      </c>
      <c r="S934">
        <v>3</v>
      </c>
      <c r="T934">
        <v>0</v>
      </c>
      <c r="U934">
        <v>0</v>
      </c>
      <c r="V934">
        <v>35</v>
      </c>
      <c r="W934">
        <v>51</v>
      </c>
      <c r="X934">
        <v>3</v>
      </c>
      <c r="Y934">
        <v>1</v>
      </c>
      <c r="Z934">
        <v>0</v>
      </c>
      <c r="AK934">
        <v>0</v>
      </c>
      <c r="AL934">
        <v>0</v>
      </c>
    </row>
    <row r="935" spans="1:38" x14ac:dyDescent="0.3">
      <c r="A935">
        <v>326564</v>
      </c>
      <c r="B935" t="s">
        <v>142</v>
      </c>
      <c r="C935" t="s">
        <v>559</v>
      </c>
      <c r="D935">
        <v>2019</v>
      </c>
      <c r="E935" t="s">
        <v>265</v>
      </c>
      <c r="F935" t="s">
        <v>266</v>
      </c>
      <c r="P935">
        <v>2</v>
      </c>
      <c r="Q935">
        <v>0</v>
      </c>
      <c r="R935">
        <v>32</v>
      </c>
    </row>
    <row r="936" spans="1:38" x14ac:dyDescent="0.3">
      <c r="A936">
        <v>326564</v>
      </c>
      <c r="B936" t="s">
        <v>142</v>
      </c>
      <c r="C936" t="s">
        <v>559</v>
      </c>
      <c r="D936">
        <v>2020</v>
      </c>
      <c r="E936" t="s">
        <v>265</v>
      </c>
      <c r="F936" t="s">
        <v>266</v>
      </c>
      <c r="P936">
        <v>5</v>
      </c>
      <c r="Q936">
        <v>0</v>
      </c>
      <c r="R936">
        <v>57</v>
      </c>
    </row>
    <row r="937" spans="1:38" x14ac:dyDescent="0.3">
      <c r="A937">
        <v>326564</v>
      </c>
      <c r="B937" t="s">
        <v>142</v>
      </c>
      <c r="C937" t="s">
        <v>559</v>
      </c>
      <c r="D937">
        <v>2021</v>
      </c>
      <c r="E937" t="s">
        <v>265</v>
      </c>
      <c r="F937" t="s">
        <v>266</v>
      </c>
      <c r="P937">
        <v>13</v>
      </c>
      <c r="Q937">
        <v>1</v>
      </c>
      <c r="R937">
        <v>128</v>
      </c>
      <c r="S937">
        <v>0</v>
      </c>
      <c r="T937">
        <v>0</v>
      </c>
      <c r="U937">
        <v>0</v>
      </c>
      <c r="V937">
        <v>3</v>
      </c>
      <c r="W937">
        <v>3</v>
      </c>
      <c r="X937">
        <v>0</v>
      </c>
      <c r="Z937">
        <v>0</v>
      </c>
    </row>
    <row r="938" spans="1:38" x14ac:dyDescent="0.3">
      <c r="A938">
        <v>326564</v>
      </c>
      <c r="B938" t="s">
        <v>142</v>
      </c>
      <c r="C938" t="s">
        <v>559</v>
      </c>
      <c r="D938">
        <v>2022</v>
      </c>
      <c r="E938" t="s">
        <v>265</v>
      </c>
      <c r="F938" t="s">
        <v>266</v>
      </c>
      <c r="P938">
        <v>35</v>
      </c>
      <c r="Q938">
        <v>6</v>
      </c>
      <c r="R938">
        <v>443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Z938">
        <v>0</v>
      </c>
    </row>
    <row r="939" spans="1:38" x14ac:dyDescent="0.3">
      <c r="A939">
        <v>326564</v>
      </c>
      <c r="B939" t="s">
        <v>142</v>
      </c>
      <c r="C939" t="s">
        <v>559</v>
      </c>
      <c r="D939">
        <v>2023</v>
      </c>
      <c r="E939" t="s">
        <v>265</v>
      </c>
      <c r="F939" t="s">
        <v>266</v>
      </c>
      <c r="P939">
        <v>27</v>
      </c>
      <c r="Q939">
        <v>3</v>
      </c>
      <c r="R939">
        <v>451</v>
      </c>
      <c r="S939">
        <v>0</v>
      </c>
      <c r="T939">
        <v>0</v>
      </c>
      <c r="U939">
        <v>0</v>
      </c>
      <c r="V939">
        <v>1</v>
      </c>
      <c r="W939">
        <v>1</v>
      </c>
      <c r="X939">
        <v>0</v>
      </c>
      <c r="Z939">
        <v>0</v>
      </c>
    </row>
    <row r="940" spans="1:38" x14ac:dyDescent="0.3">
      <c r="A940">
        <v>326599</v>
      </c>
      <c r="B940" t="s">
        <v>42</v>
      </c>
      <c r="C940" t="s">
        <v>560</v>
      </c>
      <c r="D940">
        <v>2019</v>
      </c>
      <c r="E940" t="s">
        <v>265</v>
      </c>
      <c r="F940" t="s">
        <v>266</v>
      </c>
      <c r="S940">
        <v>0</v>
      </c>
      <c r="T940">
        <v>0</v>
      </c>
      <c r="U940">
        <v>0</v>
      </c>
      <c r="V940">
        <v>11</v>
      </c>
      <c r="W940">
        <v>14</v>
      </c>
      <c r="X940">
        <v>0</v>
      </c>
      <c r="Z940">
        <v>0</v>
      </c>
      <c r="AA940">
        <v>16.7</v>
      </c>
      <c r="AB940">
        <v>25</v>
      </c>
      <c r="AC940">
        <v>9</v>
      </c>
      <c r="AD940">
        <v>0</v>
      </c>
      <c r="AE940">
        <v>150</v>
      </c>
      <c r="AF940">
        <v>5.6</v>
      </c>
      <c r="AG940">
        <v>14</v>
      </c>
      <c r="AH940">
        <v>5</v>
      </c>
      <c r="AI940">
        <v>0</v>
      </c>
      <c r="AJ940">
        <v>28</v>
      </c>
      <c r="AK940">
        <v>1</v>
      </c>
      <c r="AL940">
        <v>1</v>
      </c>
    </row>
    <row r="941" spans="1:38" x14ac:dyDescent="0.3">
      <c r="A941">
        <v>326599</v>
      </c>
      <c r="B941" t="s">
        <v>42</v>
      </c>
      <c r="C941" t="s">
        <v>560</v>
      </c>
      <c r="D941">
        <v>2020</v>
      </c>
      <c r="E941" t="s">
        <v>265</v>
      </c>
      <c r="F941" t="s">
        <v>266</v>
      </c>
      <c r="S941">
        <v>3</v>
      </c>
      <c r="T941">
        <v>1</v>
      </c>
      <c r="U941">
        <v>1</v>
      </c>
      <c r="V941">
        <v>40</v>
      </c>
      <c r="W941">
        <v>58</v>
      </c>
      <c r="X941">
        <v>1</v>
      </c>
      <c r="Y941">
        <v>2</v>
      </c>
      <c r="Z941">
        <v>1</v>
      </c>
      <c r="AA941">
        <v>26.5</v>
      </c>
      <c r="AB941">
        <v>100</v>
      </c>
      <c r="AC941">
        <v>13</v>
      </c>
      <c r="AD941">
        <v>1</v>
      </c>
      <c r="AE941">
        <v>345</v>
      </c>
    </row>
    <row r="942" spans="1:38" x14ac:dyDescent="0.3">
      <c r="A942">
        <v>326599</v>
      </c>
      <c r="B942" t="s">
        <v>42</v>
      </c>
      <c r="C942" t="s">
        <v>560</v>
      </c>
      <c r="D942">
        <v>2021</v>
      </c>
      <c r="E942" t="s">
        <v>265</v>
      </c>
      <c r="F942" t="s">
        <v>266</v>
      </c>
      <c r="S942">
        <v>5</v>
      </c>
      <c r="T942">
        <v>1</v>
      </c>
      <c r="U942">
        <v>0</v>
      </c>
      <c r="V942">
        <v>78</v>
      </c>
      <c r="W942">
        <v>110</v>
      </c>
      <c r="X942">
        <v>4</v>
      </c>
      <c r="Y942">
        <v>1</v>
      </c>
      <c r="Z942">
        <v>0</v>
      </c>
      <c r="AA942">
        <v>26.2</v>
      </c>
      <c r="AB942">
        <v>83</v>
      </c>
      <c r="AC942">
        <v>16</v>
      </c>
      <c r="AD942">
        <v>0</v>
      </c>
      <c r="AE942">
        <v>419</v>
      </c>
    </row>
    <row r="943" spans="1:38" x14ac:dyDescent="0.3">
      <c r="A943">
        <v>326599</v>
      </c>
      <c r="B943" t="s">
        <v>42</v>
      </c>
      <c r="C943" t="s">
        <v>560</v>
      </c>
      <c r="D943">
        <v>2022</v>
      </c>
      <c r="E943" t="s">
        <v>265</v>
      </c>
      <c r="F943" t="s">
        <v>266</v>
      </c>
      <c r="S943">
        <v>3</v>
      </c>
      <c r="T943">
        <v>1</v>
      </c>
      <c r="U943">
        <v>0</v>
      </c>
      <c r="V943">
        <v>65</v>
      </c>
      <c r="W943">
        <v>96</v>
      </c>
      <c r="X943">
        <v>1.5</v>
      </c>
      <c r="Y943">
        <v>2</v>
      </c>
      <c r="Z943">
        <v>0</v>
      </c>
      <c r="AA943">
        <v>19.8</v>
      </c>
      <c r="AB943">
        <v>38</v>
      </c>
      <c r="AC943">
        <v>12</v>
      </c>
      <c r="AD943">
        <v>0</v>
      </c>
      <c r="AE943">
        <v>237</v>
      </c>
      <c r="AK943">
        <v>0</v>
      </c>
      <c r="AL943">
        <v>0</v>
      </c>
    </row>
    <row r="944" spans="1:38" x14ac:dyDescent="0.3">
      <c r="A944">
        <v>326599</v>
      </c>
      <c r="B944" t="s">
        <v>42</v>
      </c>
      <c r="C944" t="s">
        <v>560</v>
      </c>
      <c r="D944">
        <v>2023</v>
      </c>
      <c r="E944" t="s">
        <v>265</v>
      </c>
      <c r="F944" t="s">
        <v>266</v>
      </c>
      <c r="S944">
        <v>6</v>
      </c>
      <c r="T944">
        <v>0</v>
      </c>
      <c r="U944">
        <v>0</v>
      </c>
      <c r="V944">
        <v>58</v>
      </c>
      <c r="W944">
        <v>86</v>
      </c>
      <c r="X944">
        <v>4.5</v>
      </c>
      <c r="Y944">
        <v>1</v>
      </c>
      <c r="Z944">
        <v>1</v>
      </c>
      <c r="AA944">
        <v>23.9</v>
      </c>
      <c r="AB944">
        <v>43</v>
      </c>
      <c r="AC944">
        <v>12</v>
      </c>
      <c r="AD944">
        <v>0</v>
      </c>
      <c r="AE944">
        <v>287</v>
      </c>
    </row>
    <row r="945" spans="1:38" x14ac:dyDescent="0.3">
      <c r="A945">
        <v>326651</v>
      </c>
      <c r="B945" t="s">
        <v>50</v>
      </c>
      <c r="C945" t="s">
        <v>561</v>
      </c>
      <c r="D945">
        <v>2019</v>
      </c>
      <c r="E945" t="s">
        <v>479</v>
      </c>
      <c r="F945" t="s">
        <v>480</v>
      </c>
      <c r="S945">
        <v>6</v>
      </c>
      <c r="T945">
        <v>0</v>
      </c>
      <c r="U945">
        <v>1</v>
      </c>
      <c r="V945">
        <v>33</v>
      </c>
      <c r="W945">
        <v>38</v>
      </c>
      <c r="X945">
        <v>3</v>
      </c>
      <c r="Z945">
        <v>0</v>
      </c>
      <c r="AF945">
        <v>-20</v>
      </c>
      <c r="AG945">
        <v>-20</v>
      </c>
      <c r="AH945">
        <v>1</v>
      </c>
      <c r="AI945">
        <v>0</v>
      </c>
      <c r="AJ945">
        <v>-20</v>
      </c>
      <c r="AK945">
        <v>1</v>
      </c>
      <c r="AL945">
        <v>1</v>
      </c>
    </row>
    <row r="946" spans="1:38" x14ac:dyDescent="0.3">
      <c r="A946">
        <v>326651</v>
      </c>
      <c r="B946" t="s">
        <v>50</v>
      </c>
      <c r="C946" t="s">
        <v>561</v>
      </c>
      <c r="D946">
        <v>2020</v>
      </c>
      <c r="E946" t="s">
        <v>411</v>
      </c>
      <c r="F946" t="s">
        <v>412</v>
      </c>
      <c r="S946">
        <v>10</v>
      </c>
      <c r="T946">
        <v>0</v>
      </c>
      <c r="U946">
        <v>0</v>
      </c>
      <c r="V946">
        <v>27</v>
      </c>
      <c r="W946">
        <v>36</v>
      </c>
      <c r="X946">
        <v>2</v>
      </c>
      <c r="Y946">
        <v>1</v>
      </c>
      <c r="Z946">
        <v>0</v>
      </c>
      <c r="AK946">
        <v>0</v>
      </c>
      <c r="AL946">
        <v>0</v>
      </c>
    </row>
    <row r="947" spans="1:38" x14ac:dyDescent="0.3">
      <c r="A947">
        <v>326651</v>
      </c>
      <c r="B947" t="s">
        <v>50</v>
      </c>
      <c r="C947" t="s">
        <v>561</v>
      </c>
      <c r="D947">
        <v>2021</v>
      </c>
      <c r="E947" t="s">
        <v>411</v>
      </c>
      <c r="F947" t="s">
        <v>412</v>
      </c>
      <c r="S947">
        <v>9</v>
      </c>
      <c r="T947">
        <v>0</v>
      </c>
      <c r="U947">
        <v>0</v>
      </c>
      <c r="V947">
        <v>30</v>
      </c>
      <c r="W947">
        <v>40</v>
      </c>
      <c r="X947">
        <v>3.5</v>
      </c>
      <c r="Y947">
        <v>3</v>
      </c>
      <c r="Z947">
        <v>0</v>
      </c>
    </row>
    <row r="948" spans="1:38" x14ac:dyDescent="0.3">
      <c r="A948">
        <v>326651</v>
      </c>
      <c r="B948" t="s">
        <v>50</v>
      </c>
      <c r="C948" t="s">
        <v>561</v>
      </c>
      <c r="D948">
        <v>2022</v>
      </c>
      <c r="E948" t="s">
        <v>411</v>
      </c>
      <c r="F948" t="s">
        <v>412</v>
      </c>
      <c r="S948">
        <v>4</v>
      </c>
      <c r="T948">
        <v>1</v>
      </c>
      <c r="U948">
        <v>1</v>
      </c>
      <c r="V948">
        <v>35</v>
      </c>
      <c r="W948">
        <v>51</v>
      </c>
      <c r="X948">
        <v>4</v>
      </c>
      <c r="Y948">
        <v>1</v>
      </c>
      <c r="Z948">
        <v>1</v>
      </c>
      <c r="AK948">
        <v>0</v>
      </c>
      <c r="AL948">
        <v>0</v>
      </c>
    </row>
    <row r="949" spans="1:38" x14ac:dyDescent="0.3">
      <c r="A949">
        <v>326655</v>
      </c>
      <c r="B949" t="s">
        <v>46</v>
      </c>
      <c r="C949" t="s">
        <v>562</v>
      </c>
      <c r="D949">
        <v>2019</v>
      </c>
      <c r="E949" t="s">
        <v>479</v>
      </c>
      <c r="F949" t="s">
        <v>480</v>
      </c>
      <c r="P949">
        <v>9</v>
      </c>
      <c r="Q949">
        <v>1</v>
      </c>
      <c r="R949">
        <v>136</v>
      </c>
    </row>
    <row r="950" spans="1:38" x14ac:dyDescent="0.3">
      <c r="A950">
        <v>326655</v>
      </c>
      <c r="B950" t="s">
        <v>46</v>
      </c>
      <c r="C950" t="s">
        <v>562</v>
      </c>
      <c r="D950">
        <v>2020</v>
      </c>
      <c r="E950" t="s">
        <v>479</v>
      </c>
      <c r="F950" t="s">
        <v>480</v>
      </c>
      <c r="M950">
        <v>1</v>
      </c>
      <c r="N950">
        <v>2</v>
      </c>
      <c r="O950">
        <v>0</v>
      </c>
      <c r="P950">
        <v>32</v>
      </c>
      <c r="Q950">
        <v>3</v>
      </c>
      <c r="R950">
        <v>363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Z950">
        <v>1</v>
      </c>
      <c r="AA950">
        <v>18</v>
      </c>
      <c r="AB950">
        <v>18</v>
      </c>
      <c r="AC950">
        <v>1</v>
      </c>
      <c r="AD950">
        <v>0</v>
      </c>
      <c r="AE950">
        <v>18</v>
      </c>
      <c r="AF950">
        <v>11.1</v>
      </c>
      <c r="AG950">
        <v>73</v>
      </c>
      <c r="AH950">
        <v>15</v>
      </c>
      <c r="AI950">
        <v>1</v>
      </c>
      <c r="AJ950">
        <v>166</v>
      </c>
      <c r="AK950">
        <v>2</v>
      </c>
      <c r="AL950">
        <v>1</v>
      </c>
    </row>
    <row r="951" spans="1:38" x14ac:dyDescent="0.3">
      <c r="A951">
        <v>326655</v>
      </c>
      <c r="B951" t="s">
        <v>46</v>
      </c>
      <c r="C951" t="s">
        <v>562</v>
      </c>
      <c r="D951">
        <v>2021</v>
      </c>
      <c r="E951" t="s">
        <v>479</v>
      </c>
      <c r="F951" t="s">
        <v>480</v>
      </c>
      <c r="M951">
        <v>1</v>
      </c>
      <c r="N951">
        <v>2</v>
      </c>
      <c r="O951">
        <v>0</v>
      </c>
      <c r="P951">
        <v>52</v>
      </c>
      <c r="Q951">
        <v>6</v>
      </c>
      <c r="R951">
        <v>701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1</v>
      </c>
      <c r="AA951">
        <v>29.5</v>
      </c>
      <c r="AB951">
        <v>42</v>
      </c>
      <c r="AC951">
        <v>2</v>
      </c>
      <c r="AD951">
        <v>0</v>
      </c>
      <c r="AE951">
        <v>59</v>
      </c>
      <c r="AF951">
        <v>6.8</v>
      </c>
      <c r="AG951">
        <v>72</v>
      </c>
      <c r="AH951">
        <v>21</v>
      </c>
      <c r="AI951">
        <v>1</v>
      </c>
      <c r="AJ951">
        <v>143</v>
      </c>
      <c r="AK951">
        <v>2</v>
      </c>
      <c r="AL951">
        <v>2</v>
      </c>
    </row>
    <row r="952" spans="1:38" x14ac:dyDescent="0.3">
      <c r="A952">
        <v>326655</v>
      </c>
      <c r="B952" t="s">
        <v>46</v>
      </c>
      <c r="C952" t="s">
        <v>562</v>
      </c>
      <c r="D952">
        <v>2022</v>
      </c>
      <c r="E952" t="s">
        <v>479</v>
      </c>
      <c r="F952" t="s">
        <v>480</v>
      </c>
      <c r="M952">
        <v>5</v>
      </c>
      <c r="N952">
        <v>105</v>
      </c>
      <c r="O952">
        <v>1</v>
      </c>
      <c r="P952">
        <v>78</v>
      </c>
      <c r="Q952">
        <v>6</v>
      </c>
      <c r="R952">
        <v>993</v>
      </c>
      <c r="S952">
        <v>0</v>
      </c>
      <c r="T952">
        <v>0</v>
      </c>
      <c r="U952">
        <v>0</v>
      </c>
      <c r="V952">
        <v>2</v>
      </c>
      <c r="W952">
        <v>2</v>
      </c>
      <c r="X952">
        <v>0</v>
      </c>
      <c r="Z952">
        <v>0</v>
      </c>
      <c r="AA952">
        <v>21</v>
      </c>
      <c r="AB952">
        <v>37</v>
      </c>
      <c r="AC952">
        <v>14</v>
      </c>
      <c r="AD952">
        <v>0</v>
      </c>
      <c r="AE952">
        <v>294</v>
      </c>
      <c r="AF952">
        <v>4.0999999999999996</v>
      </c>
      <c r="AG952">
        <v>32</v>
      </c>
      <c r="AH952">
        <v>18</v>
      </c>
      <c r="AI952">
        <v>0</v>
      </c>
      <c r="AJ952">
        <v>74</v>
      </c>
      <c r="AK952">
        <v>3</v>
      </c>
      <c r="AL952">
        <v>0</v>
      </c>
    </row>
    <row r="953" spans="1:38" x14ac:dyDescent="0.3">
      <c r="A953">
        <v>326925</v>
      </c>
      <c r="B953" t="s">
        <v>46</v>
      </c>
      <c r="C953" t="s">
        <v>563</v>
      </c>
      <c r="D953">
        <v>2019</v>
      </c>
      <c r="E953" t="s">
        <v>564</v>
      </c>
      <c r="F953" t="s">
        <v>565</v>
      </c>
      <c r="P953">
        <v>1</v>
      </c>
      <c r="Q953">
        <v>0</v>
      </c>
      <c r="R953">
        <v>35</v>
      </c>
    </row>
    <row r="954" spans="1:38" x14ac:dyDescent="0.3">
      <c r="A954">
        <v>326925</v>
      </c>
      <c r="B954" t="s">
        <v>46</v>
      </c>
      <c r="C954" t="s">
        <v>563</v>
      </c>
      <c r="D954">
        <v>2022</v>
      </c>
      <c r="E954" t="s">
        <v>564</v>
      </c>
      <c r="F954" t="s">
        <v>565</v>
      </c>
      <c r="P954">
        <v>38</v>
      </c>
      <c r="Q954">
        <v>10</v>
      </c>
      <c r="R954">
        <v>858</v>
      </c>
      <c r="AK954">
        <v>2</v>
      </c>
      <c r="AL954">
        <v>2</v>
      </c>
    </row>
    <row r="955" spans="1:38" x14ac:dyDescent="0.3">
      <c r="A955">
        <v>327296</v>
      </c>
      <c r="B955" t="s">
        <v>178</v>
      </c>
      <c r="C955" t="s">
        <v>566</v>
      </c>
      <c r="D955">
        <v>2022</v>
      </c>
      <c r="E955" t="s">
        <v>139</v>
      </c>
      <c r="F955" t="s">
        <v>140</v>
      </c>
      <c r="M955">
        <v>1</v>
      </c>
      <c r="N955">
        <v>5</v>
      </c>
      <c r="O955">
        <v>0</v>
      </c>
    </row>
    <row r="956" spans="1:38" x14ac:dyDescent="0.3">
      <c r="A956">
        <v>327296</v>
      </c>
      <c r="B956" t="s">
        <v>178</v>
      </c>
      <c r="C956" t="s">
        <v>566</v>
      </c>
      <c r="D956">
        <v>2023</v>
      </c>
      <c r="E956" t="s">
        <v>139</v>
      </c>
      <c r="F956" t="s">
        <v>140</v>
      </c>
      <c r="S956">
        <v>0</v>
      </c>
      <c r="T956">
        <v>0</v>
      </c>
      <c r="U956">
        <v>0</v>
      </c>
      <c r="V956">
        <v>1</v>
      </c>
      <c r="W956">
        <v>1</v>
      </c>
      <c r="X956">
        <v>0</v>
      </c>
      <c r="Z956">
        <v>0</v>
      </c>
    </row>
    <row r="957" spans="1:38" x14ac:dyDescent="0.3">
      <c r="A957">
        <v>327662</v>
      </c>
      <c r="B957" t="s">
        <v>42</v>
      </c>
      <c r="C957" t="s">
        <v>567</v>
      </c>
      <c r="D957">
        <v>2019</v>
      </c>
      <c r="E957" t="s">
        <v>512</v>
      </c>
      <c r="F957" t="s">
        <v>513</v>
      </c>
      <c r="S957">
        <v>0</v>
      </c>
      <c r="T957">
        <v>0</v>
      </c>
      <c r="U957">
        <v>0</v>
      </c>
      <c r="V957">
        <v>11</v>
      </c>
      <c r="W957">
        <v>15</v>
      </c>
      <c r="X957">
        <v>1</v>
      </c>
      <c r="Z957">
        <v>0</v>
      </c>
      <c r="AA957">
        <v>17.7</v>
      </c>
      <c r="AB957">
        <v>24</v>
      </c>
      <c r="AC957">
        <v>7</v>
      </c>
      <c r="AD957">
        <v>0</v>
      </c>
      <c r="AE957">
        <v>124</v>
      </c>
      <c r="AK957">
        <v>1</v>
      </c>
      <c r="AL957">
        <v>0</v>
      </c>
    </row>
    <row r="958" spans="1:38" x14ac:dyDescent="0.3">
      <c r="A958">
        <v>327662</v>
      </c>
      <c r="B958" t="s">
        <v>42</v>
      </c>
      <c r="C958" t="s">
        <v>567</v>
      </c>
      <c r="D958">
        <v>2020</v>
      </c>
      <c r="E958" t="s">
        <v>512</v>
      </c>
      <c r="F958" t="s">
        <v>513</v>
      </c>
      <c r="S958">
        <v>0</v>
      </c>
      <c r="T958">
        <v>0</v>
      </c>
      <c r="U958">
        <v>0</v>
      </c>
      <c r="V958">
        <v>13</v>
      </c>
      <c r="W958">
        <v>16</v>
      </c>
      <c r="X958">
        <v>0.5</v>
      </c>
      <c r="Z958">
        <v>0</v>
      </c>
    </row>
    <row r="959" spans="1:38" x14ac:dyDescent="0.3">
      <c r="A959">
        <v>327662</v>
      </c>
      <c r="B959" t="s">
        <v>42</v>
      </c>
      <c r="C959" t="s">
        <v>567</v>
      </c>
      <c r="D959">
        <v>2021</v>
      </c>
      <c r="E959" t="s">
        <v>512</v>
      </c>
      <c r="F959" t="s">
        <v>513</v>
      </c>
      <c r="S959">
        <v>10</v>
      </c>
      <c r="T959">
        <v>0</v>
      </c>
      <c r="U959">
        <v>0</v>
      </c>
      <c r="V959">
        <v>42</v>
      </c>
      <c r="W959">
        <v>62</v>
      </c>
      <c r="X959">
        <v>0.5</v>
      </c>
      <c r="Y959">
        <v>3</v>
      </c>
      <c r="Z959">
        <v>0</v>
      </c>
    </row>
    <row r="960" spans="1:38" x14ac:dyDescent="0.3">
      <c r="A960">
        <v>327662</v>
      </c>
      <c r="B960" t="s">
        <v>42</v>
      </c>
      <c r="C960" t="s">
        <v>567</v>
      </c>
      <c r="D960">
        <v>2022</v>
      </c>
      <c r="E960" t="s">
        <v>512</v>
      </c>
      <c r="F960" t="s">
        <v>513</v>
      </c>
      <c r="S960">
        <v>5</v>
      </c>
      <c r="T960">
        <v>0</v>
      </c>
      <c r="U960">
        <v>1</v>
      </c>
      <c r="V960">
        <v>46</v>
      </c>
      <c r="W960">
        <v>65</v>
      </c>
      <c r="X960">
        <v>5.5</v>
      </c>
      <c r="Y960">
        <v>3</v>
      </c>
      <c r="Z960">
        <v>0</v>
      </c>
      <c r="AK960">
        <v>0</v>
      </c>
      <c r="AL960">
        <v>0</v>
      </c>
    </row>
    <row r="961" spans="1:38" x14ac:dyDescent="0.3">
      <c r="A961">
        <v>327662</v>
      </c>
      <c r="B961" t="s">
        <v>42</v>
      </c>
      <c r="C961" t="s">
        <v>567</v>
      </c>
      <c r="D961">
        <v>2023</v>
      </c>
      <c r="E961" t="s">
        <v>512</v>
      </c>
      <c r="F961" t="s">
        <v>513</v>
      </c>
      <c r="S961">
        <v>7</v>
      </c>
      <c r="T961">
        <v>2</v>
      </c>
      <c r="U961">
        <v>1</v>
      </c>
      <c r="V961">
        <v>53</v>
      </c>
      <c r="W961">
        <v>72</v>
      </c>
      <c r="X961">
        <v>1.5</v>
      </c>
      <c r="Y961">
        <v>4</v>
      </c>
      <c r="Z961">
        <v>0</v>
      </c>
    </row>
    <row r="962" spans="1:38" x14ac:dyDescent="0.3">
      <c r="A962">
        <v>327674</v>
      </c>
      <c r="B962" t="s">
        <v>46</v>
      </c>
      <c r="C962" t="s">
        <v>568</v>
      </c>
      <c r="D962">
        <v>2019</v>
      </c>
      <c r="E962" t="s">
        <v>316</v>
      </c>
      <c r="F962" t="s">
        <v>317</v>
      </c>
      <c r="P962">
        <v>4</v>
      </c>
      <c r="Q962">
        <v>1</v>
      </c>
      <c r="R962">
        <v>62</v>
      </c>
      <c r="S962">
        <v>0</v>
      </c>
      <c r="T962">
        <v>0</v>
      </c>
      <c r="U962">
        <v>0</v>
      </c>
      <c r="V962">
        <v>1</v>
      </c>
      <c r="W962">
        <v>1</v>
      </c>
      <c r="X962">
        <v>0</v>
      </c>
      <c r="Z962">
        <v>0</v>
      </c>
    </row>
    <row r="963" spans="1:38" x14ac:dyDescent="0.3">
      <c r="A963">
        <v>327674</v>
      </c>
      <c r="B963" t="s">
        <v>46</v>
      </c>
      <c r="C963" t="s">
        <v>568</v>
      </c>
      <c r="D963">
        <v>2020</v>
      </c>
      <c r="E963" t="s">
        <v>316</v>
      </c>
      <c r="F963" t="s">
        <v>317</v>
      </c>
      <c r="P963">
        <v>15</v>
      </c>
      <c r="Q963">
        <v>1</v>
      </c>
      <c r="R963">
        <v>211</v>
      </c>
    </row>
    <row r="964" spans="1:38" x14ac:dyDescent="0.3">
      <c r="A964">
        <v>327674</v>
      </c>
      <c r="B964" t="s">
        <v>46</v>
      </c>
      <c r="C964" t="s">
        <v>568</v>
      </c>
      <c r="D964">
        <v>2021</v>
      </c>
      <c r="E964" t="s">
        <v>316</v>
      </c>
      <c r="F964" t="s">
        <v>317</v>
      </c>
      <c r="P964">
        <v>71</v>
      </c>
      <c r="Q964">
        <v>15</v>
      </c>
      <c r="R964">
        <v>1293</v>
      </c>
    </row>
    <row r="965" spans="1:38" x14ac:dyDescent="0.3">
      <c r="A965">
        <v>327674</v>
      </c>
      <c r="B965" t="s">
        <v>46</v>
      </c>
      <c r="C965" t="s">
        <v>568</v>
      </c>
      <c r="D965">
        <v>2022</v>
      </c>
      <c r="E965" t="s">
        <v>316</v>
      </c>
      <c r="F965" t="s">
        <v>317</v>
      </c>
      <c r="P965">
        <v>81</v>
      </c>
      <c r="Q965">
        <v>11</v>
      </c>
      <c r="R965">
        <v>1096</v>
      </c>
      <c r="S965">
        <v>0</v>
      </c>
      <c r="T965">
        <v>0</v>
      </c>
      <c r="U965">
        <v>0</v>
      </c>
      <c r="V965">
        <v>1</v>
      </c>
      <c r="W965">
        <v>1</v>
      </c>
      <c r="X965">
        <v>0</v>
      </c>
      <c r="Z965">
        <v>0</v>
      </c>
    </row>
    <row r="966" spans="1:38" x14ac:dyDescent="0.3">
      <c r="A966">
        <v>327725</v>
      </c>
      <c r="B966" t="s">
        <v>178</v>
      </c>
      <c r="C966" t="s">
        <v>569</v>
      </c>
      <c r="D966">
        <v>2021</v>
      </c>
      <c r="E966" t="s">
        <v>98</v>
      </c>
      <c r="F966" t="s">
        <v>99</v>
      </c>
      <c r="M966">
        <v>0</v>
      </c>
      <c r="N966">
        <v>1</v>
      </c>
      <c r="O966">
        <v>0</v>
      </c>
    </row>
    <row r="967" spans="1:38" x14ac:dyDescent="0.3">
      <c r="A967">
        <v>327734</v>
      </c>
      <c r="B967" t="s">
        <v>42</v>
      </c>
      <c r="C967" t="s">
        <v>570</v>
      </c>
      <c r="D967">
        <v>2019</v>
      </c>
      <c r="E967" t="s">
        <v>220</v>
      </c>
      <c r="F967" t="s">
        <v>221</v>
      </c>
      <c r="S967">
        <v>1</v>
      </c>
      <c r="T967">
        <v>0</v>
      </c>
      <c r="U967">
        <v>0</v>
      </c>
      <c r="V967">
        <v>7</v>
      </c>
      <c r="W967">
        <v>8</v>
      </c>
      <c r="X967">
        <v>0</v>
      </c>
      <c r="Z967">
        <v>0</v>
      </c>
    </row>
    <row r="968" spans="1:38" x14ac:dyDescent="0.3">
      <c r="A968">
        <v>327734</v>
      </c>
      <c r="B968" t="s">
        <v>42</v>
      </c>
      <c r="C968" t="s">
        <v>570</v>
      </c>
      <c r="D968">
        <v>2020</v>
      </c>
      <c r="E968" t="s">
        <v>220</v>
      </c>
      <c r="F968" t="s">
        <v>221</v>
      </c>
      <c r="S968">
        <v>13</v>
      </c>
      <c r="T968">
        <v>1</v>
      </c>
      <c r="U968">
        <v>0</v>
      </c>
      <c r="V968">
        <v>14</v>
      </c>
      <c r="W968">
        <v>26</v>
      </c>
      <c r="X968">
        <v>0</v>
      </c>
      <c r="Z968">
        <v>0</v>
      </c>
    </row>
    <row r="969" spans="1:38" x14ac:dyDescent="0.3">
      <c r="A969">
        <v>327734</v>
      </c>
      <c r="B969" t="s">
        <v>42</v>
      </c>
      <c r="C969" t="s">
        <v>570</v>
      </c>
      <c r="D969">
        <v>2021</v>
      </c>
      <c r="E969" t="s">
        <v>220</v>
      </c>
      <c r="F969" t="s">
        <v>221</v>
      </c>
      <c r="S969">
        <v>7</v>
      </c>
      <c r="T969">
        <v>0</v>
      </c>
      <c r="U969">
        <v>0</v>
      </c>
      <c r="V969">
        <v>32</v>
      </c>
      <c r="W969">
        <v>41</v>
      </c>
      <c r="X969">
        <v>2</v>
      </c>
      <c r="Y969">
        <v>2</v>
      </c>
      <c r="Z969">
        <v>1</v>
      </c>
    </row>
    <row r="970" spans="1:38" x14ac:dyDescent="0.3">
      <c r="A970">
        <v>327734</v>
      </c>
      <c r="B970" t="s">
        <v>42</v>
      </c>
      <c r="C970" t="s">
        <v>570</v>
      </c>
      <c r="D970">
        <v>2022</v>
      </c>
      <c r="E970" t="s">
        <v>220</v>
      </c>
      <c r="F970" t="s">
        <v>221</v>
      </c>
      <c r="S970">
        <v>11</v>
      </c>
      <c r="T970">
        <v>0</v>
      </c>
      <c r="U970">
        <v>0</v>
      </c>
      <c r="V970">
        <v>33</v>
      </c>
      <c r="W970">
        <v>40</v>
      </c>
      <c r="X970">
        <v>2</v>
      </c>
      <c r="Y970">
        <v>3</v>
      </c>
      <c r="Z970">
        <v>0</v>
      </c>
    </row>
    <row r="971" spans="1:38" x14ac:dyDescent="0.3">
      <c r="A971">
        <v>327751</v>
      </c>
      <c r="B971" t="s">
        <v>46</v>
      </c>
      <c r="C971" t="s">
        <v>571</v>
      </c>
      <c r="D971">
        <v>2019</v>
      </c>
      <c r="E971" t="s">
        <v>130</v>
      </c>
      <c r="F971" t="s">
        <v>131</v>
      </c>
      <c r="P971">
        <v>3</v>
      </c>
      <c r="Q971">
        <v>0</v>
      </c>
      <c r="R971">
        <v>32</v>
      </c>
    </row>
    <row r="972" spans="1:38" x14ac:dyDescent="0.3">
      <c r="A972">
        <v>327751</v>
      </c>
      <c r="B972" t="s">
        <v>46</v>
      </c>
      <c r="C972" t="s">
        <v>571</v>
      </c>
      <c r="D972">
        <v>2020</v>
      </c>
      <c r="E972" t="s">
        <v>130</v>
      </c>
      <c r="F972" t="s">
        <v>131</v>
      </c>
      <c r="M972">
        <v>4</v>
      </c>
      <c r="N972">
        <v>11</v>
      </c>
      <c r="O972">
        <v>1</v>
      </c>
      <c r="P972">
        <v>43</v>
      </c>
      <c r="Q972">
        <v>6</v>
      </c>
      <c r="R972">
        <v>743</v>
      </c>
      <c r="S972">
        <v>0</v>
      </c>
      <c r="T972">
        <v>0</v>
      </c>
      <c r="U972">
        <v>0</v>
      </c>
      <c r="V972">
        <v>4</v>
      </c>
      <c r="W972">
        <v>4</v>
      </c>
      <c r="X972">
        <v>0</v>
      </c>
      <c r="Z972">
        <v>0</v>
      </c>
      <c r="AA972">
        <v>20.2</v>
      </c>
      <c r="AB972">
        <v>32</v>
      </c>
      <c r="AC972">
        <v>12</v>
      </c>
      <c r="AD972">
        <v>0</v>
      </c>
      <c r="AE972">
        <v>242</v>
      </c>
      <c r="AK972">
        <v>3</v>
      </c>
      <c r="AL972">
        <v>1</v>
      </c>
    </row>
    <row r="973" spans="1:38" x14ac:dyDescent="0.3">
      <c r="A973">
        <v>327751</v>
      </c>
      <c r="B973" t="s">
        <v>46</v>
      </c>
      <c r="C973" t="s">
        <v>571</v>
      </c>
      <c r="D973">
        <v>2021</v>
      </c>
      <c r="E973" t="s">
        <v>112</v>
      </c>
      <c r="F973" t="s">
        <v>113</v>
      </c>
      <c r="P973">
        <v>54</v>
      </c>
      <c r="Q973">
        <v>1</v>
      </c>
      <c r="R973">
        <v>602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Z973">
        <v>0</v>
      </c>
      <c r="AA973">
        <v>17.3</v>
      </c>
      <c r="AB973">
        <v>24</v>
      </c>
      <c r="AC973">
        <v>7</v>
      </c>
      <c r="AD973">
        <v>0</v>
      </c>
      <c r="AE973">
        <v>121</v>
      </c>
    </row>
    <row r="974" spans="1:38" x14ac:dyDescent="0.3">
      <c r="A974">
        <v>327751</v>
      </c>
      <c r="B974" t="s">
        <v>46</v>
      </c>
      <c r="C974" t="s">
        <v>571</v>
      </c>
      <c r="D974">
        <v>2022</v>
      </c>
      <c r="E974" t="s">
        <v>112</v>
      </c>
      <c r="F974" t="s">
        <v>113</v>
      </c>
      <c r="P974">
        <v>50</v>
      </c>
      <c r="Q974">
        <v>6</v>
      </c>
      <c r="R974">
        <v>785</v>
      </c>
      <c r="AA974">
        <v>25</v>
      </c>
      <c r="AB974">
        <v>42</v>
      </c>
      <c r="AC974">
        <v>3</v>
      </c>
      <c r="AD974">
        <v>0</v>
      </c>
      <c r="AE974">
        <v>75</v>
      </c>
    </row>
    <row r="975" spans="1:38" x14ac:dyDescent="0.3">
      <c r="A975">
        <v>327751</v>
      </c>
      <c r="B975" t="s">
        <v>46</v>
      </c>
      <c r="C975" t="s">
        <v>571</v>
      </c>
      <c r="D975">
        <v>2023</v>
      </c>
      <c r="E975" t="s">
        <v>112</v>
      </c>
      <c r="F975" t="s">
        <v>113</v>
      </c>
      <c r="M975">
        <v>1</v>
      </c>
      <c r="N975">
        <v>10</v>
      </c>
      <c r="O975">
        <v>0</v>
      </c>
      <c r="P975">
        <v>59</v>
      </c>
      <c r="Q975">
        <v>8</v>
      </c>
      <c r="R975">
        <v>1062</v>
      </c>
      <c r="S975">
        <v>0</v>
      </c>
      <c r="T975">
        <v>0</v>
      </c>
      <c r="U975">
        <v>0</v>
      </c>
      <c r="V975">
        <v>2</v>
      </c>
      <c r="W975">
        <v>2</v>
      </c>
      <c r="X975">
        <v>0</v>
      </c>
      <c r="Z975">
        <v>0</v>
      </c>
    </row>
    <row r="976" spans="1:38" x14ac:dyDescent="0.3">
      <c r="A976">
        <v>327784</v>
      </c>
      <c r="B976" t="s">
        <v>84</v>
      </c>
      <c r="C976" t="s">
        <v>572</v>
      </c>
      <c r="D976">
        <v>2019</v>
      </c>
      <c r="E976" t="s">
        <v>249</v>
      </c>
      <c r="F976" t="s">
        <v>250</v>
      </c>
      <c r="M976">
        <v>19</v>
      </c>
      <c r="N976">
        <v>135</v>
      </c>
      <c r="O976">
        <v>1</v>
      </c>
    </row>
    <row r="977" spans="1:38" x14ac:dyDescent="0.3">
      <c r="A977">
        <v>327784</v>
      </c>
      <c r="B977" t="s">
        <v>84</v>
      </c>
      <c r="C977" t="s">
        <v>572</v>
      </c>
      <c r="D977">
        <v>2020</v>
      </c>
      <c r="E977" t="s">
        <v>249</v>
      </c>
      <c r="F977" t="s">
        <v>250</v>
      </c>
      <c r="M977">
        <v>9</v>
      </c>
      <c r="N977">
        <v>86</v>
      </c>
      <c r="O977">
        <v>0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0</v>
      </c>
      <c r="Z977">
        <v>0</v>
      </c>
      <c r="AK977">
        <v>1</v>
      </c>
      <c r="AL977">
        <v>1</v>
      </c>
    </row>
    <row r="978" spans="1:38" x14ac:dyDescent="0.3">
      <c r="A978">
        <v>327784</v>
      </c>
      <c r="B978" t="s">
        <v>84</v>
      </c>
      <c r="C978" t="s">
        <v>572</v>
      </c>
      <c r="D978">
        <v>2021</v>
      </c>
      <c r="E978" t="s">
        <v>249</v>
      </c>
      <c r="F978" t="s">
        <v>250</v>
      </c>
      <c r="S978">
        <v>2</v>
      </c>
      <c r="T978">
        <v>2</v>
      </c>
      <c r="U978">
        <v>1</v>
      </c>
      <c r="V978">
        <v>27</v>
      </c>
      <c r="W978">
        <v>47</v>
      </c>
      <c r="X978">
        <v>5</v>
      </c>
      <c r="Y978">
        <v>1</v>
      </c>
      <c r="Z978">
        <v>0</v>
      </c>
      <c r="AA978">
        <v>13</v>
      </c>
      <c r="AB978">
        <v>13</v>
      </c>
      <c r="AC978">
        <v>1</v>
      </c>
      <c r="AD978">
        <v>0</v>
      </c>
      <c r="AE978">
        <v>13</v>
      </c>
    </row>
    <row r="979" spans="1:38" x14ac:dyDescent="0.3">
      <c r="A979">
        <v>327784</v>
      </c>
      <c r="B979" t="s">
        <v>84</v>
      </c>
      <c r="C979" t="s">
        <v>572</v>
      </c>
      <c r="D979">
        <v>2022</v>
      </c>
      <c r="E979" t="s">
        <v>249</v>
      </c>
      <c r="F979" t="s">
        <v>250</v>
      </c>
      <c r="S979">
        <v>3</v>
      </c>
      <c r="T979">
        <v>2</v>
      </c>
      <c r="U979">
        <v>2</v>
      </c>
      <c r="V979">
        <v>40</v>
      </c>
      <c r="W979">
        <v>70</v>
      </c>
      <c r="X979">
        <v>6.5</v>
      </c>
      <c r="Y979">
        <v>2</v>
      </c>
      <c r="Z979">
        <v>0</v>
      </c>
      <c r="AK979">
        <v>0</v>
      </c>
      <c r="AL979">
        <v>0</v>
      </c>
    </row>
    <row r="980" spans="1:38" x14ac:dyDescent="0.3">
      <c r="A980">
        <v>327784</v>
      </c>
      <c r="B980" t="s">
        <v>84</v>
      </c>
      <c r="C980" t="s">
        <v>572</v>
      </c>
      <c r="D980">
        <v>2023</v>
      </c>
      <c r="E980" t="s">
        <v>249</v>
      </c>
      <c r="F980" t="s">
        <v>250</v>
      </c>
      <c r="S980">
        <v>1</v>
      </c>
      <c r="T980">
        <v>1</v>
      </c>
      <c r="U980">
        <v>0</v>
      </c>
      <c r="V980">
        <v>41</v>
      </c>
      <c r="W980">
        <v>83</v>
      </c>
      <c r="X980">
        <v>1.5</v>
      </c>
      <c r="Y980">
        <v>1</v>
      </c>
      <c r="Z980">
        <v>0</v>
      </c>
    </row>
    <row r="981" spans="1:38" x14ac:dyDescent="0.3">
      <c r="A981">
        <v>327851</v>
      </c>
      <c r="B981" t="s">
        <v>38</v>
      </c>
      <c r="C981" t="s">
        <v>573</v>
      </c>
      <c r="D981">
        <v>2019</v>
      </c>
      <c r="E981" t="s">
        <v>119</v>
      </c>
      <c r="F981" t="s">
        <v>120</v>
      </c>
      <c r="S981">
        <v>0</v>
      </c>
      <c r="T981">
        <v>0</v>
      </c>
      <c r="U981">
        <v>3</v>
      </c>
      <c r="V981">
        <v>5</v>
      </c>
      <c r="W981">
        <v>11</v>
      </c>
      <c r="X981">
        <v>6</v>
      </c>
      <c r="Z981">
        <v>0</v>
      </c>
    </row>
    <row r="982" spans="1:38" x14ac:dyDescent="0.3">
      <c r="A982">
        <v>327851</v>
      </c>
      <c r="B982" t="s">
        <v>38</v>
      </c>
      <c r="C982" t="s">
        <v>573</v>
      </c>
      <c r="D982">
        <v>2020</v>
      </c>
      <c r="E982" t="s">
        <v>119</v>
      </c>
      <c r="F982" t="s">
        <v>120</v>
      </c>
      <c r="S982">
        <v>0</v>
      </c>
      <c r="T982">
        <v>1</v>
      </c>
      <c r="U982">
        <v>2</v>
      </c>
      <c r="V982">
        <v>2</v>
      </c>
      <c r="W982">
        <v>15</v>
      </c>
      <c r="X982">
        <v>2</v>
      </c>
      <c r="Z982">
        <v>0</v>
      </c>
    </row>
    <row r="983" spans="1:38" x14ac:dyDescent="0.3">
      <c r="A983">
        <v>327851</v>
      </c>
      <c r="B983" t="s">
        <v>38</v>
      </c>
      <c r="C983" t="s">
        <v>573</v>
      </c>
      <c r="D983">
        <v>2021</v>
      </c>
      <c r="E983" t="s">
        <v>119</v>
      </c>
      <c r="F983" t="s">
        <v>120</v>
      </c>
      <c r="S983">
        <v>0</v>
      </c>
      <c r="T983">
        <v>2</v>
      </c>
      <c r="U983">
        <v>4</v>
      </c>
      <c r="V983">
        <v>13</v>
      </c>
      <c r="W983">
        <v>27</v>
      </c>
      <c r="X983">
        <v>7</v>
      </c>
      <c r="Z983">
        <v>0</v>
      </c>
    </row>
    <row r="984" spans="1:38" x14ac:dyDescent="0.3">
      <c r="A984">
        <v>327851</v>
      </c>
      <c r="B984" t="s">
        <v>38</v>
      </c>
      <c r="C984" t="s">
        <v>573</v>
      </c>
      <c r="D984">
        <v>2022</v>
      </c>
      <c r="E984" t="s">
        <v>119</v>
      </c>
      <c r="F984" t="s">
        <v>120</v>
      </c>
      <c r="S984">
        <v>1</v>
      </c>
      <c r="T984">
        <v>2</v>
      </c>
      <c r="U984">
        <v>2</v>
      </c>
      <c r="V984">
        <v>11</v>
      </c>
      <c r="W984">
        <v>25</v>
      </c>
      <c r="X984">
        <v>4.5</v>
      </c>
      <c r="Z984">
        <v>0</v>
      </c>
    </row>
    <row r="985" spans="1:38" x14ac:dyDescent="0.3">
      <c r="A985">
        <v>327851</v>
      </c>
      <c r="B985" t="s">
        <v>38</v>
      </c>
      <c r="C985" t="s">
        <v>573</v>
      </c>
      <c r="D985">
        <v>2023</v>
      </c>
      <c r="E985" t="s">
        <v>119</v>
      </c>
      <c r="F985" t="s">
        <v>120</v>
      </c>
      <c r="S985">
        <v>0</v>
      </c>
      <c r="T985">
        <v>3</v>
      </c>
      <c r="U985">
        <v>2</v>
      </c>
      <c r="V985">
        <v>17</v>
      </c>
      <c r="W985">
        <v>44</v>
      </c>
      <c r="X985">
        <v>3</v>
      </c>
      <c r="Z985">
        <v>0</v>
      </c>
      <c r="AK985">
        <v>0</v>
      </c>
      <c r="AL985">
        <v>0</v>
      </c>
    </row>
    <row r="986" spans="1:38" x14ac:dyDescent="0.3">
      <c r="A986">
        <v>327913</v>
      </c>
      <c r="B986" t="s">
        <v>38</v>
      </c>
      <c r="C986" t="s">
        <v>574</v>
      </c>
      <c r="D986">
        <v>2020</v>
      </c>
      <c r="E986" t="s">
        <v>173</v>
      </c>
      <c r="F986" t="s">
        <v>174</v>
      </c>
      <c r="S986">
        <v>0</v>
      </c>
      <c r="T986">
        <v>0</v>
      </c>
      <c r="U986">
        <v>0</v>
      </c>
      <c r="V986">
        <v>3</v>
      </c>
      <c r="W986">
        <v>8</v>
      </c>
      <c r="X986">
        <v>1</v>
      </c>
      <c r="Z986">
        <v>0</v>
      </c>
    </row>
    <row r="987" spans="1:38" x14ac:dyDescent="0.3">
      <c r="A987">
        <v>327913</v>
      </c>
      <c r="B987" t="s">
        <v>38</v>
      </c>
      <c r="C987" t="s">
        <v>574</v>
      </c>
      <c r="D987">
        <v>2021</v>
      </c>
      <c r="E987" t="s">
        <v>173</v>
      </c>
      <c r="F987" t="s">
        <v>174</v>
      </c>
      <c r="S987">
        <v>0</v>
      </c>
      <c r="T987">
        <v>0</v>
      </c>
      <c r="U987">
        <v>1</v>
      </c>
      <c r="V987">
        <v>6</v>
      </c>
      <c r="W987">
        <v>11</v>
      </c>
      <c r="X987">
        <v>1</v>
      </c>
      <c r="Z987">
        <v>0</v>
      </c>
    </row>
    <row r="988" spans="1:38" x14ac:dyDescent="0.3">
      <c r="A988">
        <v>327913</v>
      </c>
      <c r="B988" t="s">
        <v>38</v>
      </c>
      <c r="C988" t="s">
        <v>574</v>
      </c>
      <c r="D988">
        <v>2022</v>
      </c>
      <c r="E988" t="s">
        <v>173</v>
      </c>
      <c r="F988" t="s">
        <v>174</v>
      </c>
      <c r="S988">
        <v>1</v>
      </c>
      <c r="T988">
        <v>0</v>
      </c>
      <c r="U988">
        <v>0</v>
      </c>
      <c r="V988">
        <v>9</v>
      </c>
      <c r="W988">
        <v>15</v>
      </c>
      <c r="X988">
        <v>0</v>
      </c>
      <c r="Z988">
        <v>0</v>
      </c>
      <c r="AK988">
        <v>0</v>
      </c>
      <c r="AL988">
        <v>0</v>
      </c>
    </row>
    <row r="989" spans="1:38" x14ac:dyDescent="0.3">
      <c r="A989">
        <v>327913</v>
      </c>
      <c r="B989" t="s">
        <v>38</v>
      </c>
      <c r="C989" t="s">
        <v>574</v>
      </c>
      <c r="D989">
        <v>2023</v>
      </c>
      <c r="E989" t="s">
        <v>173</v>
      </c>
      <c r="F989" t="s">
        <v>174</v>
      </c>
      <c r="S989">
        <v>2</v>
      </c>
      <c r="T989">
        <v>0</v>
      </c>
      <c r="U989">
        <v>0.5</v>
      </c>
      <c r="V989">
        <v>9</v>
      </c>
      <c r="W989">
        <v>17</v>
      </c>
      <c r="X989">
        <v>2.5</v>
      </c>
      <c r="Z989">
        <v>0</v>
      </c>
    </row>
    <row r="990" spans="1:38" x14ac:dyDescent="0.3">
      <c r="A990">
        <v>327928</v>
      </c>
      <c r="B990" t="s">
        <v>178</v>
      </c>
      <c r="C990" t="s">
        <v>575</v>
      </c>
      <c r="D990">
        <v>2023</v>
      </c>
      <c r="E990" t="s">
        <v>173</v>
      </c>
      <c r="F990" t="s">
        <v>174</v>
      </c>
      <c r="S990">
        <v>0</v>
      </c>
      <c r="T990">
        <v>0</v>
      </c>
      <c r="U990">
        <v>0</v>
      </c>
      <c r="V990">
        <v>1</v>
      </c>
      <c r="W990">
        <v>1</v>
      </c>
      <c r="X990">
        <v>0</v>
      </c>
      <c r="Z990">
        <v>0</v>
      </c>
    </row>
    <row r="991" spans="1:38" x14ac:dyDescent="0.3">
      <c r="A991">
        <v>327944</v>
      </c>
      <c r="B991" t="s">
        <v>69</v>
      </c>
      <c r="C991" t="s">
        <v>576</v>
      </c>
      <c r="D991">
        <v>2019</v>
      </c>
      <c r="E991" t="s">
        <v>292</v>
      </c>
      <c r="F991" t="s">
        <v>293</v>
      </c>
      <c r="S991">
        <v>0</v>
      </c>
      <c r="T991">
        <v>1</v>
      </c>
      <c r="U991">
        <v>0</v>
      </c>
      <c r="V991">
        <v>11</v>
      </c>
      <c r="W991">
        <v>22</v>
      </c>
      <c r="X991">
        <v>1.5</v>
      </c>
      <c r="Z991">
        <v>1</v>
      </c>
      <c r="AK991">
        <v>0</v>
      </c>
      <c r="AL991">
        <v>0</v>
      </c>
    </row>
    <row r="992" spans="1:38" x14ac:dyDescent="0.3">
      <c r="A992">
        <v>327944</v>
      </c>
      <c r="B992" t="s">
        <v>69</v>
      </c>
      <c r="C992" t="s">
        <v>576</v>
      </c>
      <c r="D992">
        <v>2020</v>
      </c>
      <c r="E992" t="s">
        <v>292</v>
      </c>
      <c r="F992" t="s">
        <v>293</v>
      </c>
      <c r="S992">
        <v>0</v>
      </c>
      <c r="T992">
        <v>1</v>
      </c>
      <c r="U992">
        <v>1.5</v>
      </c>
      <c r="V992">
        <v>7</v>
      </c>
      <c r="W992">
        <v>21</v>
      </c>
      <c r="X992">
        <v>1.5</v>
      </c>
      <c r="Z992">
        <v>0</v>
      </c>
    </row>
    <row r="993" spans="1:38" x14ac:dyDescent="0.3">
      <c r="A993">
        <v>327944</v>
      </c>
      <c r="B993" t="s">
        <v>69</v>
      </c>
      <c r="C993" t="s">
        <v>576</v>
      </c>
      <c r="D993">
        <v>2021</v>
      </c>
      <c r="E993" t="s">
        <v>292</v>
      </c>
      <c r="F993" t="s">
        <v>293</v>
      </c>
      <c r="S993">
        <v>1</v>
      </c>
      <c r="T993">
        <v>2</v>
      </c>
      <c r="U993">
        <v>7.5</v>
      </c>
      <c r="V993">
        <v>22</v>
      </c>
      <c r="W993">
        <v>36</v>
      </c>
      <c r="X993">
        <v>9.5</v>
      </c>
      <c r="Z993">
        <v>0</v>
      </c>
    </row>
    <row r="994" spans="1:38" x14ac:dyDescent="0.3">
      <c r="A994">
        <v>327944</v>
      </c>
      <c r="B994" t="s">
        <v>69</v>
      </c>
      <c r="C994" t="s">
        <v>576</v>
      </c>
      <c r="D994">
        <v>2022</v>
      </c>
      <c r="E994" t="s">
        <v>292</v>
      </c>
      <c r="F994" t="s">
        <v>293</v>
      </c>
      <c r="S994">
        <v>0</v>
      </c>
      <c r="T994">
        <v>11</v>
      </c>
      <c r="U994">
        <v>8</v>
      </c>
      <c r="V994">
        <v>24</v>
      </c>
      <c r="W994">
        <v>43</v>
      </c>
      <c r="X994">
        <v>15.5</v>
      </c>
      <c r="Z994">
        <v>0</v>
      </c>
      <c r="AK994">
        <v>0</v>
      </c>
      <c r="AL994">
        <v>0</v>
      </c>
    </row>
    <row r="995" spans="1:38" x14ac:dyDescent="0.3">
      <c r="A995">
        <v>327944</v>
      </c>
      <c r="B995" t="s">
        <v>69</v>
      </c>
      <c r="C995" t="s">
        <v>576</v>
      </c>
      <c r="D995">
        <v>2023</v>
      </c>
      <c r="E995" t="s">
        <v>292</v>
      </c>
      <c r="F995" t="s">
        <v>293</v>
      </c>
      <c r="S995">
        <v>1</v>
      </c>
      <c r="T995">
        <v>10</v>
      </c>
      <c r="U995">
        <v>12</v>
      </c>
      <c r="V995">
        <v>28</v>
      </c>
      <c r="W995">
        <v>55</v>
      </c>
      <c r="X995">
        <v>16</v>
      </c>
      <c r="Z995">
        <v>0</v>
      </c>
      <c r="AK995">
        <v>0</v>
      </c>
      <c r="AL995">
        <v>0</v>
      </c>
    </row>
    <row r="996" spans="1:38" x14ac:dyDescent="0.3">
      <c r="A996">
        <v>327982</v>
      </c>
      <c r="B996" t="s">
        <v>69</v>
      </c>
      <c r="C996" t="s">
        <v>577</v>
      </c>
      <c r="D996">
        <v>2020</v>
      </c>
      <c r="E996" t="s">
        <v>164</v>
      </c>
      <c r="F996" t="s">
        <v>165</v>
      </c>
      <c r="S996">
        <v>0</v>
      </c>
      <c r="T996">
        <v>4</v>
      </c>
      <c r="U996">
        <v>3</v>
      </c>
      <c r="V996">
        <v>7</v>
      </c>
      <c r="W996">
        <v>19</v>
      </c>
      <c r="X996">
        <v>4</v>
      </c>
      <c r="Z996">
        <v>0</v>
      </c>
    </row>
    <row r="997" spans="1:38" x14ac:dyDescent="0.3">
      <c r="A997">
        <v>327982</v>
      </c>
      <c r="B997" t="s">
        <v>69</v>
      </c>
      <c r="C997" t="s">
        <v>577</v>
      </c>
      <c r="D997">
        <v>2021</v>
      </c>
      <c r="E997" t="s">
        <v>164</v>
      </c>
      <c r="F997" t="s">
        <v>165</v>
      </c>
      <c r="S997">
        <v>0</v>
      </c>
      <c r="T997">
        <v>9</v>
      </c>
      <c r="U997">
        <v>8.5</v>
      </c>
      <c r="V997">
        <v>17</v>
      </c>
      <c r="W997">
        <v>37</v>
      </c>
      <c r="X997">
        <v>14.5</v>
      </c>
      <c r="Z997">
        <v>0</v>
      </c>
      <c r="AK997">
        <v>0</v>
      </c>
      <c r="AL997">
        <v>0</v>
      </c>
    </row>
    <row r="998" spans="1:38" x14ac:dyDescent="0.3">
      <c r="A998">
        <v>327982</v>
      </c>
      <c r="B998" t="s">
        <v>69</v>
      </c>
      <c r="C998" t="s">
        <v>577</v>
      </c>
      <c r="D998">
        <v>2022</v>
      </c>
      <c r="E998" t="s">
        <v>323</v>
      </c>
      <c r="F998" t="s">
        <v>324</v>
      </c>
      <c r="S998">
        <v>1</v>
      </c>
      <c r="T998">
        <v>0</v>
      </c>
      <c r="U998">
        <v>5</v>
      </c>
      <c r="V998">
        <v>17</v>
      </c>
      <c r="W998">
        <v>26</v>
      </c>
      <c r="X998">
        <v>9</v>
      </c>
      <c r="Z998">
        <v>0</v>
      </c>
    </row>
    <row r="999" spans="1:38" x14ac:dyDescent="0.3">
      <c r="A999">
        <v>327982</v>
      </c>
      <c r="B999" t="s">
        <v>69</v>
      </c>
      <c r="C999" t="s">
        <v>577</v>
      </c>
      <c r="D999">
        <v>2023</v>
      </c>
      <c r="E999" t="s">
        <v>323</v>
      </c>
      <c r="F999" t="s">
        <v>324</v>
      </c>
      <c r="S999">
        <v>1</v>
      </c>
      <c r="T999">
        <v>10</v>
      </c>
      <c r="U999">
        <v>5.5</v>
      </c>
      <c r="V999">
        <v>23</v>
      </c>
      <c r="W999">
        <v>33</v>
      </c>
      <c r="X999">
        <v>9.5</v>
      </c>
      <c r="Z999">
        <v>0</v>
      </c>
    </row>
    <row r="1000" spans="1:38" x14ac:dyDescent="0.3">
      <c r="A1000">
        <v>328048</v>
      </c>
      <c r="B1000" t="s">
        <v>50</v>
      </c>
      <c r="C1000" t="s">
        <v>578</v>
      </c>
      <c r="D1000">
        <v>2019</v>
      </c>
      <c r="E1000" t="s">
        <v>579</v>
      </c>
      <c r="F1000" t="s">
        <v>580</v>
      </c>
      <c r="S1000">
        <v>1</v>
      </c>
      <c r="T1000">
        <v>0</v>
      </c>
      <c r="U1000">
        <v>0</v>
      </c>
      <c r="V1000">
        <v>5</v>
      </c>
      <c r="W1000">
        <v>5</v>
      </c>
      <c r="X1000">
        <v>0</v>
      </c>
      <c r="Z1000">
        <v>0</v>
      </c>
    </row>
    <row r="1001" spans="1:38" x14ac:dyDescent="0.3">
      <c r="A1001">
        <v>328048</v>
      </c>
      <c r="B1001" t="s">
        <v>50</v>
      </c>
      <c r="C1001" t="s">
        <v>578</v>
      </c>
      <c r="D1001">
        <v>2020</v>
      </c>
      <c r="E1001" t="s">
        <v>579</v>
      </c>
      <c r="F1001" t="s">
        <v>580</v>
      </c>
      <c r="S1001">
        <v>1</v>
      </c>
      <c r="T1001">
        <v>0</v>
      </c>
      <c r="U1001">
        <v>0</v>
      </c>
      <c r="V1001">
        <v>1</v>
      </c>
      <c r="W1001">
        <v>1</v>
      </c>
      <c r="X1001">
        <v>0</v>
      </c>
      <c r="Z1001">
        <v>0</v>
      </c>
    </row>
    <row r="1002" spans="1:38" x14ac:dyDescent="0.3">
      <c r="A1002">
        <v>328048</v>
      </c>
      <c r="B1002" t="s">
        <v>50</v>
      </c>
      <c r="C1002" t="s">
        <v>578</v>
      </c>
      <c r="D1002">
        <v>2021</v>
      </c>
      <c r="E1002" t="s">
        <v>494</v>
      </c>
      <c r="F1002" t="s">
        <v>495</v>
      </c>
      <c r="S1002">
        <v>3</v>
      </c>
      <c r="T1002">
        <v>0</v>
      </c>
      <c r="U1002">
        <v>0</v>
      </c>
      <c r="V1002">
        <v>10</v>
      </c>
      <c r="W1002">
        <v>17</v>
      </c>
      <c r="X1002">
        <v>1</v>
      </c>
      <c r="Y1002">
        <v>1</v>
      </c>
      <c r="Z1002">
        <v>0</v>
      </c>
    </row>
    <row r="1003" spans="1:38" x14ac:dyDescent="0.3">
      <c r="A1003">
        <v>328048</v>
      </c>
      <c r="B1003" t="s">
        <v>50</v>
      </c>
      <c r="C1003" t="s">
        <v>578</v>
      </c>
      <c r="D1003">
        <v>2022</v>
      </c>
      <c r="E1003" t="s">
        <v>494</v>
      </c>
      <c r="F1003" t="s">
        <v>495</v>
      </c>
      <c r="S1003">
        <v>8</v>
      </c>
      <c r="T1003">
        <v>1</v>
      </c>
      <c r="U1003">
        <v>0</v>
      </c>
      <c r="V1003">
        <v>21</v>
      </c>
      <c r="W1003">
        <v>30</v>
      </c>
      <c r="X1003">
        <v>0</v>
      </c>
      <c r="Y1003">
        <v>3</v>
      </c>
      <c r="Z1003">
        <v>3</v>
      </c>
      <c r="AA1003">
        <v>0</v>
      </c>
      <c r="AB1003">
        <v>0</v>
      </c>
      <c r="AC1003">
        <v>2</v>
      </c>
      <c r="AD1003">
        <v>0</v>
      </c>
      <c r="AE1003">
        <v>0</v>
      </c>
      <c r="AF1003">
        <v>9.8000000000000007</v>
      </c>
      <c r="AG1003">
        <v>82</v>
      </c>
      <c r="AH1003">
        <v>25</v>
      </c>
      <c r="AI1003">
        <v>1</v>
      </c>
      <c r="AJ1003">
        <v>245</v>
      </c>
      <c r="AK1003">
        <v>1</v>
      </c>
      <c r="AL1003">
        <v>0</v>
      </c>
    </row>
    <row r="1004" spans="1:38" x14ac:dyDescent="0.3">
      <c r="A1004">
        <v>328048</v>
      </c>
      <c r="B1004" t="s">
        <v>50</v>
      </c>
      <c r="C1004" t="s">
        <v>578</v>
      </c>
      <c r="D1004">
        <v>2023</v>
      </c>
      <c r="E1004" t="s">
        <v>494</v>
      </c>
      <c r="F1004" t="s">
        <v>495</v>
      </c>
      <c r="S1004">
        <v>10</v>
      </c>
      <c r="T1004">
        <v>0</v>
      </c>
      <c r="U1004">
        <v>0</v>
      </c>
      <c r="V1004">
        <v>18</v>
      </c>
      <c r="W1004">
        <v>32</v>
      </c>
      <c r="X1004">
        <v>0.5</v>
      </c>
      <c r="Y1004">
        <v>4</v>
      </c>
      <c r="Z1004">
        <v>1</v>
      </c>
      <c r="AF1004">
        <v>5.0999999999999996</v>
      </c>
      <c r="AG1004">
        <v>34</v>
      </c>
      <c r="AH1004">
        <v>20</v>
      </c>
      <c r="AI1004">
        <v>0</v>
      </c>
      <c r="AJ1004">
        <v>101</v>
      </c>
      <c r="AK1004">
        <v>2</v>
      </c>
      <c r="AL1004">
        <v>1</v>
      </c>
    </row>
    <row r="1005" spans="1:38" x14ac:dyDescent="0.3">
      <c r="A1005">
        <v>328168</v>
      </c>
      <c r="B1005" t="s">
        <v>42</v>
      </c>
      <c r="C1005" t="s">
        <v>581</v>
      </c>
      <c r="D1005">
        <v>2019</v>
      </c>
      <c r="E1005" t="s">
        <v>331</v>
      </c>
      <c r="F1005" t="s">
        <v>332</v>
      </c>
      <c r="S1005">
        <v>0</v>
      </c>
      <c r="T1005">
        <v>0</v>
      </c>
      <c r="U1005">
        <v>0</v>
      </c>
      <c r="V1005">
        <v>2</v>
      </c>
      <c r="W1005">
        <v>2</v>
      </c>
      <c r="X1005">
        <v>0</v>
      </c>
      <c r="Z1005">
        <v>0</v>
      </c>
    </row>
    <row r="1006" spans="1:38" x14ac:dyDescent="0.3">
      <c r="A1006">
        <v>328168</v>
      </c>
      <c r="B1006" t="s">
        <v>42</v>
      </c>
      <c r="C1006" t="s">
        <v>581</v>
      </c>
      <c r="D1006">
        <v>2020</v>
      </c>
      <c r="E1006" t="s">
        <v>331</v>
      </c>
      <c r="F1006" t="s">
        <v>332</v>
      </c>
      <c r="S1006">
        <v>2</v>
      </c>
      <c r="T1006">
        <v>0</v>
      </c>
      <c r="U1006">
        <v>0</v>
      </c>
      <c r="V1006">
        <v>14</v>
      </c>
      <c r="W1006">
        <v>18</v>
      </c>
      <c r="X1006">
        <v>0</v>
      </c>
      <c r="Z1006">
        <v>0</v>
      </c>
      <c r="AF1006">
        <v>9</v>
      </c>
      <c r="AG1006">
        <v>0</v>
      </c>
      <c r="AH1006">
        <v>1</v>
      </c>
      <c r="AI1006">
        <v>0</v>
      </c>
      <c r="AJ1006">
        <v>9</v>
      </c>
    </row>
    <row r="1007" spans="1:38" x14ac:dyDescent="0.3">
      <c r="A1007">
        <v>328168</v>
      </c>
      <c r="B1007" t="s">
        <v>42</v>
      </c>
      <c r="C1007" t="s">
        <v>581</v>
      </c>
      <c r="D1007">
        <v>2022</v>
      </c>
      <c r="E1007" t="s">
        <v>331</v>
      </c>
      <c r="F1007" t="s">
        <v>332</v>
      </c>
      <c r="S1007">
        <v>3</v>
      </c>
      <c r="T1007">
        <v>2</v>
      </c>
      <c r="U1007">
        <v>0</v>
      </c>
      <c r="V1007">
        <v>54</v>
      </c>
      <c r="W1007">
        <v>76</v>
      </c>
      <c r="X1007">
        <v>3</v>
      </c>
      <c r="Y1007">
        <v>2</v>
      </c>
      <c r="Z1007">
        <v>1</v>
      </c>
    </row>
    <row r="1008" spans="1:38" x14ac:dyDescent="0.3">
      <c r="A1008">
        <v>328168</v>
      </c>
      <c r="B1008" t="s">
        <v>42</v>
      </c>
      <c r="C1008" t="s">
        <v>581</v>
      </c>
      <c r="D1008">
        <v>2023</v>
      </c>
      <c r="E1008" t="s">
        <v>331</v>
      </c>
      <c r="F1008" t="s">
        <v>332</v>
      </c>
      <c r="S1008">
        <v>4</v>
      </c>
      <c r="T1008">
        <v>0</v>
      </c>
      <c r="U1008">
        <v>0.5</v>
      </c>
      <c r="V1008">
        <v>54</v>
      </c>
      <c r="W1008">
        <v>80</v>
      </c>
      <c r="X1008">
        <v>4</v>
      </c>
      <c r="Y1008">
        <v>1</v>
      </c>
      <c r="Z1008">
        <v>0</v>
      </c>
    </row>
    <row r="1009" spans="1:38" x14ac:dyDescent="0.3">
      <c r="A1009">
        <v>328168</v>
      </c>
      <c r="B1009" t="s">
        <v>42</v>
      </c>
      <c r="C1009" t="s">
        <v>581</v>
      </c>
      <c r="D1009">
        <v>2024</v>
      </c>
      <c r="E1009" t="s">
        <v>331</v>
      </c>
      <c r="F1009" t="s">
        <v>332</v>
      </c>
      <c r="S1009">
        <v>7</v>
      </c>
      <c r="T1009">
        <v>1</v>
      </c>
      <c r="U1009">
        <v>0</v>
      </c>
      <c r="V1009">
        <v>45</v>
      </c>
      <c r="W1009">
        <v>70</v>
      </c>
      <c r="X1009">
        <v>2.5</v>
      </c>
      <c r="Y1009">
        <v>2</v>
      </c>
      <c r="Z1009">
        <v>0</v>
      </c>
      <c r="AK1009">
        <v>0</v>
      </c>
      <c r="AL1009">
        <v>0</v>
      </c>
    </row>
    <row r="1010" spans="1:38" x14ac:dyDescent="0.3">
      <c r="A1010">
        <v>328186</v>
      </c>
      <c r="B1010" t="s">
        <v>178</v>
      </c>
      <c r="C1010" t="s">
        <v>582</v>
      </c>
      <c r="D1010">
        <v>2022</v>
      </c>
      <c r="E1010" t="s">
        <v>494</v>
      </c>
      <c r="F1010" t="s">
        <v>495</v>
      </c>
      <c r="M1010">
        <v>1</v>
      </c>
      <c r="N1010">
        <v>0</v>
      </c>
      <c r="O1010">
        <v>0</v>
      </c>
    </row>
    <row r="1011" spans="1:38" x14ac:dyDescent="0.3">
      <c r="A1011">
        <v>328191</v>
      </c>
      <c r="B1011" t="s">
        <v>38</v>
      </c>
      <c r="C1011" t="s">
        <v>583</v>
      </c>
      <c r="D1011">
        <v>2018</v>
      </c>
      <c r="E1011" t="s">
        <v>278</v>
      </c>
      <c r="F1011" t="s">
        <v>279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Z1011">
        <v>0</v>
      </c>
    </row>
    <row r="1012" spans="1:38" x14ac:dyDescent="0.3">
      <c r="A1012">
        <v>328191</v>
      </c>
      <c r="B1012" t="s">
        <v>38</v>
      </c>
      <c r="C1012" t="s">
        <v>583</v>
      </c>
      <c r="D1012">
        <v>2019</v>
      </c>
      <c r="E1012" t="s">
        <v>278</v>
      </c>
      <c r="F1012" t="s">
        <v>279</v>
      </c>
      <c r="S1012">
        <v>0</v>
      </c>
      <c r="T1012">
        <v>2</v>
      </c>
      <c r="U1012">
        <v>0.5</v>
      </c>
      <c r="V1012">
        <v>1</v>
      </c>
      <c r="W1012">
        <v>7</v>
      </c>
      <c r="X1012">
        <v>1</v>
      </c>
      <c r="Z1012">
        <v>0</v>
      </c>
    </row>
    <row r="1013" spans="1:38" x14ac:dyDescent="0.3">
      <c r="A1013">
        <v>328191</v>
      </c>
      <c r="B1013" t="s">
        <v>38</v>
      </c>
      <c r="C1013" t="s">
        <v>583</v>
      </c>
      <c r="D1013">
        <v>2021</v>
      </c>
      <c r="E1013" t="s">
        <v>278</v>
      </c>
      <c r="F1013" t="s">
        <v>279</v>
      </c>
      <c r="S1013">
        <v>0</v>
      </c>
      <c r="T1013">
        <v>0</v>
      </c>
      <c r="U1013">
        <v>0</v>
      </c>
      <c r="V1013">
        <v>3</v>
      </c>
      <c r="W1013">
        <v>9</v>
      </c>
      <c r="X1013">
        <v>2.5</v>
      </c>
      <c r="Z1013">
        <v>0</v>
      </c>
    </row>
    <row r="1014" spans="1:38" x14ac:dyDescent="0.3">
      <c r="A1014">
        <v>328191</v>
      </c>
      <c r="B1014" t="s">
        <v>38</v>
      </c>
      <c r="C1014" t="s">
        <v>583</v>
      </c>
      <c r="D1014">
        <v>2022</v>
      </c>
      <c r="E1014" t="s">
        <v>584</v>
      </c>
      <c r="F1014" t="s">
        <v>585</v>
      </c>
      <c r="S1014">
        <v>0</v>
      </c>
      <c r="T1014">
        <v>3</v>
      </c>
      <c r="U1014">
        <v>4.5</v>
      </c>
      <c r="V1014">
        <v>8</v>
      </c>
      <c r="W1014">
        <v>19</v>
      </c>
      <c r="X1014">
        <v>5.5</v>
      </c>
      <c r="Z1014">
        <v>0</v>
      </c>
    </row>
    <row r="1015" spans="1:38" x14ac:dyDescent="0.3">
      <c r="A1015">
        <v>328191</v>
      </c>
      <c r="B1015" t="s">
        <v>38</v>
      </c>
      <c r="C1015" t="s">
        <v>583</v>
      </c>
      <c r="D1015">
        <v>2023</v>
      </c>
      <c r="E1015" t="s">
        <v>584</v>
      </c>
      <c r="F1015" t="s">
        <v>585</v>
      </c>
      <c r="S1015">
        <v>0</v>
      </c>
      <c r="T1015">
        <v>4</v>
      </c>
      <c r="U1015">
        <v>9</v>
      </c>
      <c r="V1015">
        <v>30</v>
      </c>
      <c r="W1015">
        <v>58</v>
      </c>
      <c r="X1015">
        <v>19.5</v>
      </c>
      <c r="Z1015">
        <v>0</v>
      </c>
      <c r="AK1015">
        <v>0</v>
      </c>
      <c r="AL1015">
        <v>0</v>
      </c>
    </row>
    <row r="1016" spans="1:38" x14ac:dyDescent="0.3">
      <c r="A1016">
        <v>328197</v>
      </c>
      <c r="B1016" t="s">
        <v>69</v>
      </c>
      <c r="C1016" t="s">
        <v>586</v>
      </c>
      <c r="D1016">
        <v>2019</v>
      </c>
      <c r="E1016" t="s">
        <v>549</v>
      </c>
      <c r="F1016" t="s">
        <v>550</v>
      </c>
      <c r="S1016">
        <v>1</v>
      </c>
      <c r="T1016">
        <v>0</v>
      </c>
      <c r="U1016">
        <v>2</v>
      </c>
      <c r="V1016">
        <v>5</v>
      </c>
      <c r="W1016">
        <v>7</v>
      </c>
      <c r="X1016">
        <v>3</v>
      </c>
      <c r="Z1016">
        <v>0</v>
      </c>
    </row>
    <row r="1017" spans="1:38" x14ac:dyDescent="0.3">
      <c r="A1017">
        <v>328197</v>
      </c>
      <c r="B1017" t="s">
        <v>69</v>
      </c>
      <c r="C1017" t="s">
        <v>586</v>
      </c>
      <c r="D1017">
        <v>2020</v>
      </c>
      <c r="E1017" t="s">
        <v>549</v>
      </c>
      <c r="F1017" t="s">
        <v>550</v>
      </c>
      <c r="S1017">
        <v>0</v>
      </c>
      <c r="T1017">
        <v>5</v>
      </c>
      <c r="U1017">
        <v>1</v>
      </c>
      <c r="V1017">
        <v>17</v>
      </c>
      <c r="W1017">
        <v>26</v>
      </c>
      <c r="X1017">
        <v>3</v>
      </c>
      <c r="Z1017">
        <v>0</v>
      </c>
    </row>
    <row r="1018" spans="1:38" x14ac:dyDescent="0.3">
      <c r="A1018">
        <v>328197</v>
      </c>
      <c r="B1018" t="s">
        <v>69</v>
      </c>
      <c r="C1018" t="s">
        <v>586</v>
      </c>
      <c r="D1018">
        <v>2021</v>
      </c>
      <c r="E1018" t="s">
        <v>549</v>
      </c>
      <c r="F1018" t="s">
        <v>550</v>
      </c>
      <c r="S1018">
        <v>0</v>
      </c>
      <c r="T1018">
        <v>0</v>
      </c>
      <c r="U1018">
        <v>2</v>
      </c>
      <c r="V1018">
        <v>3</v>
      </c>
      <c r="W1018">
        <v>6</v>
      </c>
      <c r="X1018">
        <v>2</v>
      </c>
      <c r="Z1018">
        <v>0</v>
      </c>
    </row>
    <row r="1019" spans="1:38" x14ac:dyDescent="0.3">
      <c r="A1019">
        <v>328197</v>
      </c>
      <c r="B1019" t="s">
        <v>69</v>
      </c>
      <c r="C1019" t="s">
        <v>586</v>
      </c>
      <c r="D1019">
        <v>2022</v>
      </c>
      <c r="E1019" t="s">
        <v>549</v>
      </c>
      <c r="F1019" t="s">
        <v>550</v>
      </c>
      <c r="S1019">
        <v>1</v>
      </c>
      <c r="T1019">
        <v>3</v>
      </c>
      <c r="U1019">
        <v>3</v>
      </c>
      <c r="V1019">
        <v>29</v>
      </c>
      <c r="W1019">
        <v>39</v>
      </c>
      <c r="X1019">
        <v>5</v>
      </c>
      <c r="Z1019">
        <v>0</v>
      </c>
    </row>
    <row r="1020" spans="1:38" x14ac:dyDescent="0.3">
      <c r="A1020">
        <v>328197</v>
      </c>
      <c r="B1020" t="s">
        <v>69</v>
      </c>
      <c r="C1020" t="s">
        <v>586</v>
      </c>
      <c r="D1020">
        <v>2023</v>
      </c>
      <c r="E1020" t="s">
        <v>549</v>
      </c>
      <c r="F1020" t="s">
        <v>550</v>
      </c>
      <c r="S1020">
        <v>0</v>
      </c>
      <c r="T1020">
        <v>2</v>
      </c>
      <c r="U1020">
        <v>6</v>
      </c>
      <c r="V1020">
        <v>14</v>
      </c>
      <c r="W1020">
        <v>19</v>
      </c>
      <c r="X1020">
        <v>8</v>
      </c>
      <c r="Z1020">
        <v>0</v>
      </c>
    </row>
    <row r="1021" spans="1:38" x14ac:dyDescent="0.3">
      <c r="A1021">
        <v>328254</v>
      </c>
      <c r="B1021" t="s">
        <v>42</v>
      </c>
      <c r="C1021" t="s">
        <v>587</v>
      </c>
      <c r="D1021">
        <v>2019</v>
      </c>
      <c r="E1021" t="s">
        <v>228</v>
      </c>
      <c r="F1021" t="s">
        <v>229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0</v>
      </c>
      <c r="Z1021">
        <v>0</v>
      </c>
    </row>
    <row r="1022" spans="1:38" x14ac:dyDescent="0.3">
      <c r="A1022">
        <v>328254</v>
      </c>
      <c r="B1022" t="s">
        <v>42</v>
      </c>
      <c r="C1022" t="s">
        <v>587</v>
      </c>
      <c r="D1022">
        <v>2020</v>
      </c>
      <c r="E1022" t="s">
        <v>228</v>
      </c>
      <c r="F1022" t="s">
        <v>229</v>
      </c>
      <c r="S1022">
        <v>1</v>
      </c>
      <c r="T1022">
        <v>0</v>
      </c>
      <c r="U1022">
        <v>0</v>
      </c>
      <c r="V1022">
        <v>23</v>
      </c>
      <c r="W1022">
        <v>32</v>
      </c>
      <c r="X1022">
        <v>1</v>
      </c>
      <c r="Z1022">
        <v>0</v>
      </c>
    </row>
    <row r="1023" spans="1:38" x14ac:dyDescent="0.3">
      <c r="A1023">
        <v>328254</v>
      </c>
      <c r="B1023" t="s">
        <v>42</v>
      </c>
      <c r="C1023" t="s">
        <v>587</v>
      </c>
      <c r="D1023">
        <v>2021</v>
      </c>
      <c r="E1023" t="s">
        <v>588</v>
      </c>
      <c r="F1023" t="s">
        <v>589</v>
      </c>
      <c r="S1023">
        <v>0</v>
      </c>
      <c r="T1023">
        <v>0</v>
      </c>
      <c r="U1023">
        <v>0</v>
      </c>
      <c r="V1023">
        <v>2</v>
      </c>
      <c r="W1023">
        <v>2</v>
      </c>
      <c r="X1023">
        <v>0</v>
      </c>
      <c r="Z1023">
        <v>0</v>
      </c>
    </row>
    <row r="1024" spans="1:38" x14ac:dyDescent="0.3">
      <c r="A1024">
        <v>328254</v>
      </c>
      <c r="B1024" t="s">
        <v>42</v>
      </c>
      <c r="C1024" t="s">
        <v>587</v>
      </c>
      <c r="D1024">
        <v>2022</v>
      </c>
      <c r="E1024" t="s">
        <v>588</v>
      </c>
      <c r="F1024" t="s">
        <v>589</v>
      </c>
      <c r="Y1024">
        <v>1</v>
      </c>
      <c r="AF1024">
        <v>2</v>
      </c>
      <c r="AG1024">
        <v>2</v>
      </c>
      <c r="AH1024">
        <v>1</v>
      </c>
      <c r="AI1024">
        <v>0</v>
      </c>
      <c r="AJ1024">
        <v>2</v>
      </c>
    </row>
    <row r="1025" spans="1:38" x14ac:dyDescent="0.3">
      <c r="A1025">
        <v>328254</v>
      </c>
      <c r="B1025" t="s">
        <v>42</v>
      </c>
      <c r="C1025" t="s">
        <v>587</v>
      </c>
      <c r="D1025">
        <v>2023</v>
      </c>
      <c r="E1025" t="s">
        <v>590</v>
      </c>
      <c r="F1025" t="s">
        <v>591</v>
      </c>
      <c r="S1025">
        <v>3</v>
      </c>
      <c r="T1025">
        <v>1</v>
      </c>
      <c r="U1025">
        <v>0</v>
      </c>
      <c r="V1025">
        <v>54</v>
      </c>
      <c r="W1025">
        <v>67</v>
      </c>
      <c r="X1025">
        <v>0.5</v>
      </c>
      <c r="Y1025">
        <v>1</v>
      </c>
      <c r="Z1025">
        <v>1</v>
      </c>
      <c r="AK1025">
        <v>0</v>
      </c>
      <c r="AL1025">
        <v>0</v>
      </c>
    </row>
    <row r="1026" spans="1:38" x14ac:dyDescent="0.3">
      <c r="A1026">
        <v>328254</v>
      </c>
      <c r="B1026" t="s">
        <v>42</v>
      </c>
      <c r="C1026" t="s">
        <v>587</v>
      </c>
      <c r="D1026">
        <v>2024</v>
      </c>
      <c r="E1026" t="s">
        <v>590</v>
      </c>
      <c r="F1026" t="s">
        <v>591</v>
      </c>
      <c r="S1026">
        <v>2</v>
      </c>
      <c r="T1026">
        <v>0</v>
      </c>
      <c r="U1026">
        <v>1</v>
      </c>
      <c r="V1026">
        <v>44</v>
      </c>
      <c r="W1026">
        <v>64</v>
      </c>
      <c r="X1026">
        <v>3</v>
      </c>
      <c r="Z1026">
        <v>1</v>
      </c>
      <c r="AK1026">
        <v>0</v>
      </c>
      <c r="AL1026">
        <v>0</v>
      </c>
    </row>
    <row r="1027" spans="1:38" x14ac:dyDescent="0.3">
      <c r="A1027">
        <v>328261</v>
      </c>
      <c r="B1027" t="s">
        <v>54</v>
      </c>
      <c r="C1027" t="s">
        <v>592</v>
      </c>
      <c r="D1027">
        <v>2019</v>
      </c>
      <c r="E1027" t="s">
        <v>593</v>
      </c>
      <c r="F1027" t="s">
        <v>594</v>
      </c>
      <c r="G1027">
        <v>38</v>
      </c>
      <c r="H1027">
        <v>19</v>
      </c>
      <c r="I1027">
        <v>224</v>
      </c>
      <c r="J1027">
        <v>0.5</v>
      </c>
      <c r="K1027">
        <v>2</v>
      </c>
      <c r="L1027">
        <v>1</v>
      </c>
      <c r="M1027">
        <v>3</v>
      </c>
      <c r="N1027">
        <v>-1</v>
      </c>
      <c r="O1027">
        <v>0</v>
      </c>
    </row>
    <row r="1028" spans="1:38" x14ac:dyDescent="0.3">
      <c r="A1028">
        <v>328261</v>
      </c>
      <c r="B1028" t="s">
        <v>54</v>
      </c>
      <c r="C1028" t="s">
        <v>592</v>
      </c>
      <c r="D1028">
        <v>2022</v>
      </c>
      <c r="E1028" t="s">
        <v>593</v>
      </c>
      <c r="F1028" t="s">
        <v>594</v>
      </c>
      <c r="G1028">
        <v>420</v>
      </c>
      <c r="H1028">
        <v>263</v>
      </c>
      <c r="I1028">
        <v>3154</v>
      </c>
      <c r="J1028">
        <v>0.626</v>
      </c>
      <c r="K1028">
        <v>27</v>
      </c>
      <c r="L1028">
        <v>8</v>
      </c>
      <c r="M1028">
        <v>75</v>
      </c>
      <c r="N1028">
        <v>117</v>
      </c>
      <c r="O1028">
        <v>2</v>
      </c>
      <c r="AK1028">
        <v>6</v>
      </c>
      <c r="AL1028">
        <v>3</v>
      </c>
    </row>
    <row r="1029" spans="1:38" x14ac:dyDescent="0.3">
      <c r="A1029">
        <v>328261</v>
      </c>
      <c r="B1029" t="s">
        <v>54</v>
      </c>
      <c r="C1029" t="s">
        <v>592</v>
      </c>
      <c r="D1029">
        <v>2023</v>
      </c>
      <c r="E1029" t="s">
        <v>593</v>
      </c>
      <c r="F1029" t="s">
        <v>594</v>
      </c>
      <c r="G1029">
        <v>455</v>
      </c>
      <c r="H1029">
        <v>291</v>
      </c>
      <c r="I1029">
        <v>3459</v>
      </c>
      <c r="J1029">
        <v>0.64</v>
      </c>
      <c r="K1029">
        <v>29</v>
      </c>
      <c r="L1029">
        <v>6</v>
      </c>
      <c r="M1029">
        <v>56</v>
      </c>
      <c r="N1029">
        <v>127</v>
      </c>
      <c r="O1029">
        <v>5</v>
      </c>
      <c r="AK1029">
        <v>2</v>
      </c>
      <c r="AL1029">
        <v>1</v>
      </c>
    </row>
    <row r="1030" spans="1:38" x14ac:dyDescent="0.3">
      <c r="A1030">
        <v>328261</v>
      </c>
      <c r="B1030" t="s">
        <v>54</v>
      </c>
      <c r="C1030" t="s">
        <v>592</v>
      </c>
      <c r="D1030">
        <v>2024</v>
      </c>
      <c r="E1030" t="s">
        <v>52</v>
      </c>
      <c r="F1030" t="s">
        <v>53</v>
      </c>
      <c r="G1030">
        <v>403</v>
      </c>
      <c r="H1030">
        <v>268</v>
      </c>
      <c r="I1030">
        <v>2829</v>
      </c>
      <c r="J1030">
        <v>0.66500000000000004</v>
      </c>
      <c r="K1030">
        <v>18</v>
      </c>
      <c r="L1030">
        <v>6</v>
      </c>
      <c r="M1030">
        <v>71</v>
      </c>
      <c r="N1030">
        <v>-37</v>
      </c>
      <c r="O1030">
        <v>5</v>
      </c>
      <c r="AK1030">
        <v>3</v>
      </c>
      <c r="AL1030">
        <v>2</v>
      </c>
    </row>
    <row r="1031" spans="1:38" x14ac:dyDescent="0.3">
      <c r="A1031">
        <v>328455</v>
      </c>
      <c r="B1031" t="s">
        <v>50</v>
      </c>
      <c r="C1031" t="s">
        <v>595</v>
      </c>
      <c r="D1031">
        <v>2020</v>
      </c>
      <c r="E1031" t="s">
        <v>596</v>
      </c>
      <c r="F1031" t="s">
        <v>597</v>
      </c>
      <c r="S1031">
        <v>2</v>
      </c>
      <c r="T1031">
        <v>0</v>
      </c>
      <c r="U1031">
        <v>0</v>
      </c>
      <c r="V1031">
        <v>8</v>
      </c>
      <c r="W1031">
        <v>10</v>
      </c>
      <c r="X1031">
        <v>0</v>
      </c>
      <c r="Z1031">
        <v>0</v>
      </c>
    </row>
    <row r="1032" spans="1:38" x14ac:dyDescent="0.3">
      <c r="A1032">
        <v>328455</v>
      </c>
      <c r="B1032" t="s">
        <v>50</v>
      </c>
      <c r="C1032" t="s">
        <v>595</v>
      </c>
      <c r="D1032">
        <v>2021</v>
      </c>
      <c r="E1032" t="s">
        <v>596</v>
      </c>
      <c r="F1032" t="s">
        <v>597</v>
      </c>
      <c r="P1032">
        <v>2</v>
      </c>
      <c r="Q1032">
        <v>0</v>
      </c>
      <c r="R1032">
        <v>23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0</v>
      </c>
      <c r="Z1032">
        <v>0</v>
      </c>
    </row>
    <row r="1033" spans="1:38" x14ac:dyDescent="0.3">
      <c r="A1033">
        <v>328455</v>
      </c>
      <c r="B1033" t="s">
        <v>50</v>
      </c>
      <c r="C1033" t="s">
        <v>595</v>
      </c>
      <c r="D1033">
        <v>2022</v>
      </c>
      <c r="E1033" t="s">
        <v>533</v>
      </c>
      <c r="F1033" t="s">
        <v>534</v>
      </c>
      <c r="S1033">
        <v>7</v>
      </c>
      <c r="T1033">
        <v>0</v>
      </c>
      <c r="U1033">
        <v>0</v>
      </c>
      <c r="V1033">
        <v>21</v>
      </c>
      <c r="W1033">
        <v>28</v>
      </c>
      <c r="X1033">
        <v>3</v>
      </c>
      <c r="Y1033">
        <v>3</v>
      </c>
      <c r="Z1033">
        <v>1</v>
      </c>
    </row>
    <row r="1034" spans="1:38" x14ac:dyDescent="0.3">
      <c r="A1034">
        <v>329552</v>
      </c>
      <c r="B1034" t="s">
        <v>50</v>
      </c>
      <c r="C1034" t="s">
        <v>598</v>
      </c>
      <c r="D1034">
        <v>2021</v>
      </c>
      <c r="E1034" t="s">
        <v>599</v>
      </c>
      <c r="F1034" t="s">
        <v>600</v>
      </c>
      <c r="S1034">
        <v>1</v>
      </c>
      <c r="T1034">
        <v>0</v>
      </c>
      <c r="U1034">
        <v>0</v>
      </c>
      <c r="V1034">
        <v>7</v>
      </c>
      <c r="W1034">
        <v>7</v>
      </c>
      <c r="X1034">
        <v>1</v>
      </c>
      <c r="Z1034">
        <v>0</v>
      </c>
    </row>
    <row r="1035" spans="1:38" x14ac:dyDescent="0.3">
      <c r="A1035">
        <v>329552</v>
      </c>
      <c r="B1035" t="s">
        <v>50</v>
      </c>
      <c r="C1035" t="s">
        <v>598</v>
      </c>
      <c r="D1035">
        <v>2022</v>
      </c>
      <c r="E1035" t="s">
        <v>599</v>
      </c>
      <c r="F1035" t="s">
        <v>600</v>
      </c>
      <c r="S1035">
        <v>1</v>
      </c>
      <c r="T1035">
        <v>0</v>
      </c>
      <c r="U1035">
        <v>0</v>
      </c>
      <c r="V1035">
        <v>1</v>
      </c>
      <c r="W1035">
        <v>3</v>
      </c>
      <c r="X1035">
        <v>0</v>
      </c>
      <c r="Y1035">
        <v>5</v>
      </c>
      <c r="Z1035">
        <v>0</v>
      </c>
      <c r="AF1035">
        <v>15.3</v>
      </c>
      <c r="AG1035">
        <v>62</v>
      </c>
      <c r="AH1035">
        <v>9</v>
      </c>
      <c r="AI1035">
        <v>0</v>
      </c>
      <c r="AJ1035">
        <v>138</v>
      </c>
      <c r="AK1035">
        <v>1</v>
      </c>
      <c r="AL1035">
        <v>0</v>
      </c>
    </row>
    <row r="1036" spans="1:38" x14ac:dyDescent="0.3">
      <c r="A1036">
        <v>329552</v>
      </c>
      <c r="B1036" t="s">
        <v>50</v>
      </c>
      <c r="C1036" t="s">
        <v>598</v>
      </c>
      <c r="D1036">
        <v>2023</v>
      </c>
      <c r="E1036" t="s">
        <v>157</v>
      </c>
      <c r="F1036" t="s">
        <v>158</v>
      </c>
      <c r="S1036">
        <v>6</v>
      </c>
      <c r="T1036">
        <v>1</v>
      </c>
      <c r="U1036">
        <v>0</v>
      </c>
      <c r="V1036">
        <v>30</v>
      </c>
      <c r="W1036">
        <v>42</v>
      </c>
      <c r="X1036">
        <v>1</v>
      </c>
      <c r="Y1036">
        <v>3</v>
      </c>
      <c r="Z1036">
        <v>1</v>
      </c>
      <c r="AF1036">
        <v>16</v>
      </c>
      <c r="AG1036">
        <v>52</v>
      </c>
      <c r="AH1036">
        <v>7</v>
      </c>
      <c r="AI1036">
        <v>1</v>
      </c>
      <c r="AJ1036">
        <v>112</v>
      </c>
    </row>
    <row r="1037" spans="1:38" x14ac:dyDescent="0.3">
      <c r="A1037">
        <v>329552</v>
      </c>
      <c r="B1037" t="s">
        <v>50</v>
      </c>
      <c r="C1037" t="s">
        <v>598</v>
      </c>
      <c r="D1037">
        <v>2024</v>
      </c>
      <c r="E1037" t="s">
        <v>157</v>
      </c>
      <c r="F1037" t="s">
        <v>158</v>
      </c>
      <c r="S1037">
        <v>8</v>
      </c>
      <c r="T1037">
        <v>1</v>
      </c>
      <c r="U1037">
        <v>2</v>
      </c>
      <c r="V1037">
        <v>24</v>
      </c>
      <c r="W1037">
        <v>36</v>
      </c>
      <c r="X1037">
        <v>4</v>
      </c>
      <c r="Y1037">
        <v>1</v>
      </c>
      <c r="Z1037">
        <v>1</v>
      </c>
      <c r="AF1037">
        <v>11.8</v>
      </c>
      <c r="AG1037">
        <v>69</v>
      </c>
      <c r="AH1037">
        <v>13</v>
      </c>
      <c r="AI1037">
        <v>1</v>
      </c>
      <c r="AJ1037">
        <v>153</v>
      </c>
    </row>
    <row r="1038" spans="1:38" x14ac:dyDescent="0.3">
      <c r="A1038">
        <v>330226</v>
      </c>
      <c r="B1038" t="s">
        <v>50</v>
      </c>
      <c r="C1038" t="s">
        <v>601</v>
      </c>
      <c r="D1038">
        <v>2019</v>
      </c>
      <c r="E1038" t="s">
        <v>494</v>
      </c>
      <c r="F1038" t="s">
        <v>495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Z1038">
        <v>0</v>
      </c>
      <c r="AA1038">
        <v>15.7</v>
      </c>
      <c r="AB1038">
        <v>20</v>
      </c>
      <c r="AC1038">
        <v>3</v>
      </c>
      <c r="AD1038">
        <v>0</v>
      </c>
      <c r="AE1038">
        <v>47</v>
      </c>
    </row>
    <row r="1039" spans="1:38" x14ac:dyDescent="0.3">
      <c r="A1039">
        <v>330226</v>
      </c>
      <c r="B1039" t="s">
        <v>50</v>
      </c>
      <c r="C1039" t="s">
        <v>601</v>
      </c>
      <c r="D1039">
        <v>2020</v>
      </c>
      <c r="E1039" t="s">
        <v>494</v>
      </c>
      <c r="F1039" t="s">
        <v>495</v>
      </c>
      <c r="S1039">
        <v>2</v>
      </c>
      <c r="T1039">
        <v>0</v>
      </c>
      <c r="U1039">
        <v>0</v>
      </c>
      <c r="V1039">
        <v>15</v>
      </c>
      <c r="W1039">
        <v>17</v>
      </c>
      <c r="X1039">
        <v>1</v>
      </c>
      <c r="Y1039">
        <v>1</v>
      </c>
      <c r="Z1039">
        <v>0</v>
      </c>
    </row>
    <row r="1040" spans="1:38" x14ac:dyDescent="0.3">
      <c r="A1040">
        <v>330226</v>
      </c>
      <c r="B1040" t="s">
        <v>50</v>
      </c>
      <c r="C1040" t="s">
        <v>601</v>
      </c>
      <c r="D1040">
        <v>2021</v>
      </c>
      <c r="E1040" t="s">
        <v>494</v>
      </c>
      <c r="F1040" t="s">
        <v>495</v>
      </c>
      <c r="S1040">
        <v>7</v>
      </c>
      <c r="T1040">
        <v>0</v>
      </c>
      <c r="U1040">
        <v>0</v>
      </c>
      <c r="V1040">
        <v>20</v>
      </c>
      <c r="W1040">
        <v>26</v>
      </c>
      <c r="X1040">
        <v>0.5</v>
      </c>
      <c r="Y1040">
        <v>1</v>
      </c>
      <c r="Z1040">
        <v>0</v>
      </c>
    </row>
    <row r="1041" spans="1:38" x14ac:dyDescent="0.3">
      <c r="A1041">
        <v>330226</v>
      </c>
      <c r="B1041" t="s">
        <v>50</v>
      </c>
      <c r="C1041" t="s">
        <v>601</v>
      </c>
      <c r="D1041">
        <v>2022</v>
      </c>
      <c r="E1041" t="s">
        <v>494</v>
      </c>
      <c r="F1041" t="s">
        <v>495</v>
      </c>
      <c r="S1041">
        <v>12</v>
      </c>
      <c r="T1041">
        <v>1</v>
      </c>
      <c r="U1041">
        <v>0</v>
      </c>
      <c r="V1041">
        <v>20</v>
      </c>
      <c r="W1041">
        <v>28</v>
      </c>
      <c r="X1041">
        <v>2</v>
      </c>
      <c r="Y1041">
        <v>1</v>
      </c>
      <c r="Z1041">
        <v>0</v>
      </c>
    </row>
    <row r="1042" spans="1:38" x14ac:dyDescent="0.3">
      <c r="A1042">
        <v>330226</v>
      </c>
      <c r="B1042" t="s">
        <v>50</v>
      </c>
      <c r="C1042" t="s">
        <v>601</v>
      </c>
      <c r="D1042">
        <v>2023</v>
      </c>
      <c r="E1042" t="s">
        <v>494</v>
      </c>
      <c r="F1042" t="s">
        <v>495</v>
      </c>
      <c r="S1042">
        <v>3</v>
      </c>
      <c r="T1042">
        <v>2</v>
      </c>
      <c r="U1042">
        <v>2</v>
      </c>
      <c r="V1042">
        <v>15</v>
      </c>
      <c r="W1042">
        <v>30</v>
      </c>
      <c r="X1042">
        <v>3.5</v>
      </c>
      <c r="Y1042">
        <v>1</v>
      </c>
      <c r="Z1042">
        <v>0</v>
      </c>
      <c r="AA1042">
        <v>17</v>
      </c>
      <c r="AB1042">
        <v>17</v>
      </c>
      <c r="AC1042">
        <v>1</v>
      </c>
      <c r="AD1042">
        <v>0</v>
      </c>
      <c r="AE1042">
        <v>17</v>
      </c>
    </row>
    <row r="1043" spans="1:38" x14ac:dyDescent="0.3">
      <c r="A1043">
        <v>330299</v>
      </c>
      <c r="B1043" t="s">
        <v>69</v>
      </c>
      <c r="C1043" t="s">
        <v>602</v>
      </c>
      <c r="D1043">
        <v>2020</v>
      </c>
      <c r="E1043" t="s">
        <v>603</v>
      </c>
      <c r="F1043" t="s">
        <v>604</v>
      </c>
      <c r="S1043">
        <v>1</v>
      </c>
      <c r="T1043">
        <v>2</v>
      </c>
      <c r="U1043">
        <v>1</v>
      </c>
      <c r="V1043">
        <v>9</v>
      </c>
      <c r="W1043">
        <v>26</v>
      </c>
      <c r="X1043">
        <v>1.5</v>
      </c>
      <c r="Z1043">
        <v>0</v>
      </c>
    </row>
    <row r="1044" spans="1:38" x14ac:dyDescent="0.3">
      <c r="A1044">
        <v>330299</v>
      </c>
      <c r="B1044" t="s">
        <v>69</v>
      </c>
      <c r="C1044" t="s">
        <v>602</v>
      </c>
      <c r="D1044">
        <v>2021</v>
      </c>
      <c r="E1044" t="s">
        <v>603</v>
      </c>
      <c r="F1044" t="s">
        <v>604</v>
      </c>
      <c r="S1044">
        <v>4</v>
      </c>
      <c r="T1044">
        <v>10</v>
      </c>
      <c r="U1044">
        <v>6.5</v>
      </c>
      <c r="V1044">
        <v>30</v>
      </c>
      <c r="W1044">
        <v>62</v>
      </c>
      <c r="X1044">
        <v>11</v>
      </c>
      <c r="Z1044">
        <v>0</v>
      </c>
    </row>
    <row r="1045" spans="1:38" x14ac:dyDescent="0.3">
      <c r="A1045">
        <v>330299</v>
      </c>
      <c r="B1045" t="s">
        <v>69</v>
      </c>
      <c r="C1045" t="s">
        <v>602</v>
      </c>
      <c r="D1045">
        <v>2022</v>
      </c>
      <c r="E1045" t="s">
        <v>603</v>
      </c>
      <c r="F1045" t="s">
        <v>604</v>
      </c>
      <c r="S1045">
        <v>2</v>
      </c>
      <c r="T1045">
        <v>10</v>
      </c>
      <c r="U1045">
        <v>12</v>
      </c>
      <c r="V1045">
        <v>36</v>
      </c>
      <c r="W1045">
        <v>62</v>
      </c>
      <c r="X1045">
        <v>19.5</v>
      </c>
      <c r="Z1045">
        <v>0</v>
      </c>
      <c r="AK1045">
        <v>0</v>
      </c>
      <c r="AL1045">
        <v>0</v>
      </c>
    </row>
    <row r="1046" spans="1:38" x14ac:dyDescent="0.3">
      <c r="A1046">
        <v>330326</v>
      </c>
      <c r="B1046" t="s">
        <v>38</v>
      </c>
      <c r="C1046" t="s">
        <v>605</v>
      </c>
      <c r="D1046">
        <v>2020</v>
      </c>
      <c r="E1046" t="s">
        <v>160</v>
      </c>
      <c r="F1046" t="s">
        <v>161</v>
      </c>
      <c r="S1046">
        <v>0</v>
      </c>
      <c r="T1046">
        <v>1</v>
      </c>
      <c r="U1046">
        <v>3</v>
      </c>
      <c r="V1046">
        <v>9</v>
      </c>
      <c r="W1046">
        <v>17</v>
      </c>
      <c r="X1046">
        <v>6</v>
      </c>
      <c r="Z1046">
        <v>0</v>
      </c>
    </row>
    <row r="1047" spans="1:38" x14ac:dyDescent="0.3">
      <c r="A1047">
        <v>330326</v>
      </c>
      <c r="B1047" t="s">
        <v>38</v>
      </c>
      <c r="C1047" t="s">
        <v>605</v>
      </c>
      <c r="D1047">
        <v>2021</v>
      </c>
      <c r="E1047" t="s">
        <v>160</v>
      </c>
      <c r="F1047" t="s">
        <v>161</v>
      </c>
      <c r="S1047">
        <v>1</v>
      </c>
      <c r="T1047">
        <v>4</v>
      </c>
      <c r="U1047">
        <v>2</v>
      </c>
      <c r="V1047">
        <v>9</v>
      </c>
      <c r="W1047">
        <v>17</v>
      </c>
      <c r="X1047">
        <v>6.5</v>
      </c>
      <c r="Z1047">
        <v>0</v>
      </c>
    </row>
    <row r="1048" spans="1:38" x14ac:dyDescent="0.3">
      <c r="A1048">
        <v>330326</v>
      </c>
      <c r="B1048" t="s">
        <v>38</v>
      </c>
      <c r="C1048" t="s">
        <v>605</v>
      </c>
      <c r="D1048">
        <v>2022</v>
      </c>
      <c r="E1048" t="s">
        <v>160</v>
      </c>
      <c r="F1048" t="s">
        <v>161</v>
      </c>
      <c r="S1048">
        <v>0</v>
      </c>
      <c r="T1048">
        <v>0</v>
      </c>
      <c r="U1048">
        <v>2</v>
      </c>
      <c r="V1048">
        <v>12</v>
      </c>
      <c r="W1048">
        <v>16</v>
      </c>
      <c r="X1048">
        <v>4</v>
      </c>
      <c r="Z1048">
        <v>0</v>
      </c>
    </row>
    <row r="1049" spans="1:38" x14ac:dyDescent="0.3">
      <c r="A1049">
        <v>330326</v>
      </c>
      <c r="B1049" t="s">
        <v>38</v>
      </c>
      <c r="C1049" t="s">
        <v>605</v>
      </c>
      <c r="D1049">
        <v>2023</v>
      </c>
      <c r="E1049" t="s">
        <v>160</v>
      </c>
      <c r="F1049" t="s">
        <v>161</v>
      </c>
      <c r="S1049">
        <v>0</v>
      </c>
      <c r="T1049">
        <v>2</v>
      </c>
      <c r="U1049">
        <v>2</v>
      </c>
      <c r="V1049">
        <v>10</v>
      </c>
      <c r="W1049">
        <v>25</v>
      </c>
      <c r="X1049">
        <v>2</v>
      </c>
      <c r="Z1049">
        <v>0</v>
      </c>
      <c r="AK1049">
        <v>0</v>
      </c>
      <c r="AL1049">
        <v>0</v>
      </c>
    </row>
    <row r="1050" spans="1:38" x14ac:dyDescent="0.3">
      <c r="A1050">
        <v>330326</v>
      </c>
      <c r="B1050" t="s">
        <v>38</v>
      </c>
      <c r="C1050" t="s">
        <v>605</v>
      </c>
      <c r="D1050">
        <v>2024</v>
      </c>
      <c r="E1050" t="s">
        <v>74</v>
      </c>
      <c r="F1050" t="s">
        <v>75</v>
      </c>
      <c r="S1050">
        <v>0</v>
      </c>
      <c r="T1050">
        <v>5</v>
      </c>
      <c r="U1050">
        <v>6.5</v>
      </c>
      <c r="V1050">
        <v>17</v>
      </c>
      <c r="W1050">
        <v>40</v>
      </c>
      <c r="X1050">
        <v>7.5</v>
      </c>
      <c r="Y1050">
        <v>1</v>
      </c>
      <c r="Z1050">
        <v>0</v>
      </c>
    </row>
    <row r="1051" spans="1:38" x14ac:dyDescent="0.3">
      <c r="A1051">
        <v>330335</v>
      </c>
      <c r="B1051" t="s">
        <v>46</v>
      </c>
      <c r="C1051" t="s">
        <v>606</v>
      </c>
      <c r="D1051">
        <v>2019</v>
      </c>
      <c r="E1051" t="s">
        <v>89</v>
      </c>
      <c r="F1051" t="s">
        <v>90</v>
      </c>
      <c r="P1051">
        <v>6</v>
      </c>
      <c r="Q1051">
        <v>0</v>
      </c>
      <c r="R1051">
        <v>42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0</v>
      </c>
      <c r="Z1051">
        <v>0</v>
      </c>
      <c r="AK1051">
        <v>1</v>
      </c>
      <c r="AL1051">
        <v>1</v>
      </c>
    </row>
    <row r="1052" spans="1:38" x14ac:dyDescent="0.3">
      <c r="A1052">
        <v>330335</v>
      </c>
      <c r="B1052" t="s">
        <v>46</v>
      </c>
      <c r="C1052" t="s">
        <v>606</v>
      </c>
      <c r="D1052">
        <v>2020</v>
      </c>
      <c r="E1052" t="s">
        <v>89</v>
      </c>
      <c r="F1052" t="s">
        <v>90</v>
      </c>
      <c r="M1052">
        <v>1</v>
      </c>
      <c r="N1052">
        <v>8</v>
      </c>
      <c r="O1052">
        <v>0</v>
      </c>
      <c r="P1052">
        <v>5</v>
      </c>
      <c r="Q1052">
        <v>0</v>
      </c>
      <c r="R1052">
        <v>51</v>
      </c>
    </row>
    <row r="1053" spans="1:38" x14ac:dyDescent="0.3">
      <c r="A1053">
        <v>330335</v>
      </c>
      <c r="B1053" t="s">
        <v>46</v>
      </c>
      <c r="C1053" t="s">
        <v>606</v>
      </c>
      <c r="D1053">
        <v>2021</v>
      </c>
      <c r="E1053" t="s">
        <v>89</v>
      </c>
      <c r="F1053" t="s">
        <v>90</v>
      </c>
      <c r="M1053">
        <v>5</v>
      </c>
      <c r="N1053">
        <v>-2</v>
      </c>
      <c r="O1053">
        <v>0</v>
      </c>
      <c r="P1053">
        <v>44</v>
      </c>
      <c r="Q1053">
        <v>2</v>
      </c>
      <c r="R1053">
        <v>578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0</v>
      </c>
      <c r="Z1053">
        <v>0</v>
      </c>
      <c r="AK1053">
        <v>2</v>
      </c>
      <c r="AL1053">
        <v>1</v>
      </c>
    </row>
    <row r="1054" spans="1:38" x14ac:dyDescent="0.3">
      <c r="A1054">
        <v>330335</v>
      </c>
      <c r="B1054" t="s">
        <v>46</v>
      </c>
      <c r="C1054" t="s">
        <v>606</v>
      </c>
      <c r="D1054">
        <v>2022</v>
      </c>
      <c r="E1054" t="s">
        <v>89</v>
      </c>
      <c r="F1054" t="s">
        <v>90</v>
      </c>
      <c r="G1054">
        <v>1</v>
      </c>
      <c r="H1054">
        <v>1</v>
      </c>
      <c r="I1054">
        <v>6</v>
      </c>
      <c r="J1054">
        <v>1</v>
      </c>
      <c r="K1054">
        <v>0</v>
      </c>
      <c r="L1054">
        <v>0</v>
      </c>
      <c r="M1054">
        <v>9</v>
      </c>
      <c r="N1054">
        <v>16</v>
      </c>
      <c r="O1054">
        <v>0</v>
      </c>
      <c r="P1054">
        <v>65</v>
      </c>
      <c r="Q1054">
        <v>1</v>
      </c>
      <c r="R1054">
        <v>694</v>
      </c>
      <c r="S1054">
        <v>0</v>
      </c>
      <c r="T1054">
        <v>0</v>
      </c>
      <c r="U1054">
        <v>0</v>
      </c>
      <c r="V1054">
        <v>2</v>
      </c>
      <c r="W1054">
        <v>2</v>
      </c>
      <c r="X1054">
        <v>0</v>
      </c>
      <c r="Z1054">
        <v>0</v>
      </c>
      <c r="AK1054">
        <v>2</v>
      </c>
      <c r="AL1054">
        <v>2</v>
      </c>
    </row>
    <row r="1055" spans="1:38" x14ac:dyDescent="0.3">
      <c r="A1055">
        <v>330335</v>
      </c>
      <c r="B1055" t="s">
        <v>46</v>
      </c>
      <c r="C1055" t="s">
        <v>606</v>
      </c>
      <c r="D1055">
        <v>2023</v>
      </c>
      <c r="E1055" t="s">
        <v>207</v>
      </c>
      <c r="F1055" t="s">
        <v>208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3</v>
      </c>
      <c r="N1055">
        <v>7</v>
      </c>
      <c r="O1055">
        <v>0</v>
      </c>
      <c r="P1055">
        <v>110</v>
      </c>
      <c r="Q1055">
        <v>9</v>
      </c>
      <c r="R1055">
        <v>1426</v>
      </c>
      <c r="AA1055">
        <v>19.8</v>
      </c>
      <c r="AB1055">
        <v>40</v>
      </c>
      <c r="AC1055">
        <v>13</v>
      </c>
      <c r="AD1055">
        <v>0</v>
      </c>
      <c r="AE1055">
        <v>257</v>
      </c>
    </row>
    <row r="1056" spans="1:38" x14ac:dyDescent="0.3">
      <c r="A1056">
        <v>330388</v>
      </c>
      <c r="B1056" t="s">
        <v>46</v>
      </c>
      <c r="C1056" t="s">
        <v>607</v>
      </c>
      <c r="D1056">
        <v>2020</v>
      </c>
      <c r="E1056" t="s">
        <v>382</v>
      </c>
      <c r="F1056" t="s">
        <v>383</v>
      </c>
      <c r="AF1056">
        <v>-5</v>
      </c>
      <c r="AG1056">
        <v>0</v>
      </c>
      <c r="AH1056">
        <v>1</v>
      </c>
      <c r="AI1056">
        <v>0</v>
      </c>
      <c r="AJ1056">
        <v>-5</v>
      </c>
    </row>
    <row r="1057" spans="1:38" x14ac:dyDescent="0.3">
      <c r="A1057">
        <v>330388</v>
      </c>
      <c r="B1057" t="s">
        <v>46</v>
      </c>
      <c r="C1057" t="s">
        <v>607</v>
      </c>
      <c r="D1057">
        <v>2021</v>
      </c>
      <c r="E1057" t="s">
        <v>382</v>
      </c>
      <c r="F1057" t="s">
        <v>383</v>
      </c>
      <c r="M1057">
        <v>5</v>
      </c>
      <c r="N1057">
        <v>50</v>
      </c>
      <c r="O1057">
        <v>1</v>
      </c>
      <c r="P1057">
        <v>13</v>
      </c>
      <c r="Q1057">
        <v>1</v>
      </c>
      <c r="R1057">
        <v>185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Z1057">
        <v>0</v>
      </c>
      <c r="AF1057">
        <v>10.3</v>
      </c>
      <c r="AG1057">
        <v>26</v>
      </c>
      <c r="AH1057">
        <v>4</v>
      </c>
      <c r="AI1057">
        <v>0</v>
      </c>
      <c r="AJ1057">
        <v>41</v>
      </c>
    </row>
    <row r="1058" spans="1:38" x14ac:dyDescent="0.3">
      <c r="A1058">
        <v>330388</v>
      </c>
      <c r="B1058" t="s">
        <v>46</v>
      </c>
      <c r="C1058" t="s">
        <v>607</v>
      </c>
      <c r="D1058">
        <v>2022</v>
      </c>
      <c r="E1058" t="s">
        <v>382</v>
      </c>
      <c r="F1058" t="s">
        <v>383</v>
      </c>
      <c r="M1058">
        <v>2</v>
      </c>
      <c r="N1058">
        <v>11</v>
      </c>
      <c r="O1058">
        <v>0</v>
      </c>
      <c r="P1058">
        <v>27</v>
      </c>
      <c r="Q1058">
        <v>3</v>
      </c>
      <c r="R1058">
        <v>457</v>
      </c>
      <c r="S1058">
        <v>0</v>
      </c>
      <c r="T1058">
        <v>0</v>
      </c>
      <c r="U1058">
        <v>0</v>
      </c>
      <c r="V1058">
        <v>1</v>
      </c>
      <c r="W1058">
        <v>2</v>
      </c>
      <c r="X1058">
        <v>0</v>
      </c>
      <c r="Z1058">
        <v>2</v>
      </c>
      <c r="AF1058">
        <v>18.600000000000001</v>
      </c>
      <c r="AG1058">
        <v>80</v>
      </c>
      <c r="AH1058">
        <v>14</v>
      </c>
      <c r="AI1058">
        <v>2</v>
      </c>
      <c r="AJ1058">
        <v>260</v>
      </c>
    </row>
    <row r="1059" spans="1:38" x14ac:dyDescent="0.3">
      <c r="A1059">
        <v>330388</v>
      </c>
      <c r="B1059" t="s">
        <v>46</v>
      </c>
      <c r="C1059" t="s">
        <v>607</v>
      </c>
      <c r="D1059">
        <v>2023</v>
      </c>
      <c r="E1059" t="s">
        <v>382</v>
      </c>
      <c r="F1059" t="s">
        <v>383</v>
      </c>
      <c r="M1059">
        <v>4</v>
      </c>
      <c r="N1059">
        <v>22</v>
      </c>
      <c r="O1059">
        <v>0</v>
      </c>
      <c r="P1059">
        <v>44</v>
      </c>
      <c r="Q1059">
        <v>2</v>
      </c>
      <c r="R1059">
        <v>718</v>
      </c>
      <c r="AF1059">
        <v>17.5</v>
      </c>
      <c r="AG1059">
        <v>28</v>
      </c>
      <c r="AH1059">
        <v>6</v>
      </c>
      <c r="AI1059">
        <v>0</v>
      </c>
      <c r="AJ1059">
        <v>105</v>
      </c>
      <c r="AK1059">
        <v>2</v>
      </c>
      <c r="AL1059">
        <v>1</v>
      </c>
    </row>
    <row r="1060" spans="1:38" x14ac:dyDescent="0.3">
      <c r="A1060">
        <v>330521</v>
      </c>
      <c r="B1060" t="s">
        <v>54</v>
      </c>
      <c r="C1060" t="s">
        <v>608</v>
      </c>
      <c r="D1060">
        <v>2019</v>
      </c>
      <c r="E1060" t="s">
        <v>420</v>
      </c>
      <c r="F1060" t="s">
        <v>421</v>
      </c>
      <c r="G1060">
        <v>242</v>
      </c>
      <c r="H1060">
        <v>145</v>
      </c>
      <c r="I1060">
        <v>1605</v>
      </c>
      <c r="J1060">
        <v>0.59899999999999998</v>
      </c>
      <c r="K1060">
        <v>11</v>
      </c>
      <c r="L1060">
        <v>8</v>
      </c>
      <c r="M1060">
        <v>62</v>
      </c>
      <c r="N1060">
        <v>56</v>
      </c>
      <c r="O1060">
        <v>0</v>
      </c>
      <c r="AK1060">
        <v>3</v>
      </c>
      <c r="AL1060">
        <v>1</v>
      </c>
    </row>
    <row r="1061" spans="1:38" x14ac:dyDescent="0.3">
      <c r="A1061">
        <v>330521</v>
      </c>
      <c r="B1061" t="s">
        <v>54</v>
      </c>
      <c r="C1061" t="s">
        <v>608</v>
      </c>
      <c r="D1061">
        <v>2020</v>
      </c>
      <c r="E1061" t="s">
        <v>420</v>
      </c>
      <c r="F1061" t="s">
        <v>421</v>
      </c>
      <c r="G1061">
        <v>124</v>
      </c>
      <c r="H1061">
        <v>88</v>
      </c>
      <c r="I1061">
        <v>938</v>
      </c>
      <c r="J1061">
        <v>0.71</v>
      </c>
      <c r="K1061">
        <v>8</v>
      </c>
      <c r="L1061">
        <v>2</v>
      </c>
      <c r="M1061">
        <v>16</v>
      </c>
      <c r="N1061">
        <v>21</v>
      </c>
      <c r="O1061">
        <v>1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Z1061">
        <v>0</v>
      </c>
    </row>
    <row r="1062" spans="1:38" x14ac:dyDescent="0.3">
      <c r="A1062">
        <v>330521</v>
      </c>
      <c r="B1062" t="s">
        <v>54</v>
      </c>
      <c r="C1062" t="s">
        <v>608</v>
      </c>
      <c r="D1062">
        <v>2021</v>
      </c>
      <c r="E1062" t="s">
        <v>420</v>
      </c>
      <c r="F1062" t="s">
        <v>421</v>
      </c>
      <c r="G1062">
        <v>127</v>
      </c>
      <c r="H1062">
        <v>87</v>
      </c>
      <c r="I1062">
        <v>864</v>
      </c>
      <c r="J1062">
        <v>0.68500000000000005</v>
      </c>
      <c r="K1062">
        <v>7</v>
      </c>
      <c r="L1062">
        <v>0</v>
      </c>
      <c r="M1062">
        <v>27</v>
      </c>
      <c r="N1062">
        <v>-3</v>
      </c>
      <c r="O1062">
        <v>0</v>
      </c>
      <c r="AK1062">
        <v>1</v>
      </c>
      <c r="AL1062">
        <v>1</v>
      </c>
    </row>
    <row r="1063" spans="1:38" x14ac:dyDescent="0.3">
      <c r="A1063">
        <v>330521</v>
      </c>
      <c r="B1063" t="s">
        <v>54</v>
      </c>
      <c r="C1063" t="s">
        <v>608</v>
      </c>
      <c r="D1063">
        <v>2022</v>
      </c>
      <c r="E1063" t="s">
        <v>331</v>
      </c>
      <c r="F1063" t="s">
        <v>332</v>
      </c>
      <c r="G1063">
        <v>451</v>
      </c>
      <c r="H1063">
        <v>282</v>
      </c>
      <c r="I1063">
        <v>3096</v>
      </c>
      <c r="J1063">
        <v>0.625</v>
      </c>
      <c r="K1063">
        <v>21</v>
      </c>
      <c r="L1063">
        <v>9</v>
      </c>
      <c r="M1063">
        <v>52</v>
      </c>
      <c r="N1063">
        <v>-126</v>
      </c>
      <c r="O1063">
        <v>1</v>
      </c>
      <c r="AK1063">
        <v>2</v>
      </c>
      <c r="AL1063">
        <v>0</v>
      </c>
    </row>
    <row r="1064" spans="1:38" x14ac:dyDescent="0.3">
      <c r="A1064">
        <v>330521</v>
      </c>
      <c r="B1064" t="s">
        <v>54</v>
      </c>
      <c r="C1064" t="s">
        <v>608</v>
      </c>
      <c r="D1064">
        <v>2023</v>
      </c>
      <c r="E1064" t="s">
        <v>411</v>
      </c>
      <c r="F1064" t="s">
        <v>412</v>
      </c>
      <c r="G1064">
        <v>395</v>
      </c>
      <c r="H1064">
        <v>256</v>
      </c>
      <c r="I1064">
        <v>3204</v>
      </c>
      <c r="J1064">
        <v>0.64800000000000002</v>
      </c>
      <c r="K1064">
        <v>21</v>
      </c>
      <c r="L1064">
        <v>12</v>
      </c>
      <c r="M1064">
        <v>98</v>
      </c>
      <c r="N1064">
        <v>34</v>
      </c>
      <c r="O1064">
        <v>1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Z1064">
        <v>0</v>
      </c>
      <c r="AK1064">
        <v>8</v>
      </c>
      <c r="AL1064">
        <v>4</v>
      </c>
    </row>
    <row r="1065" spans="1:38" x14ac:dyDescent="0.3">
      <c r="A1065">
        <v>330671</v>
      </c>
      <c r="B1065" t="s">
        <v>46</v>
      </c>
      <c r="C1065" t="s">
        <v>609</v>
      </c>
      <c r="D1065">
        <v>2019</v>
      </c>
      <c r="E1065" t="s">
        <v>243</v>
      </c>
      <c r="F1065" t="s">
        <v>244</v>
      </c>
      <c r="P1065">
        <v>7</v>
      </c>
      <c r="Q1065">
        <v>2</v>
      </c>
      <c r="R1065">
        <v>131</v>
      </c>
    </row>
    <row r="1066" spans="1:38" x14ac:dyDescent="0.3">
      <c r="A1066">
        <v>330671</v>
      </c>
      <c r="B1066" t="s">
        <v>46</v>
      </c>
      <c r="C1066" t="s">
        <v>609</v>
      </c>
      <c r="D1066">
        <v>2020</v>
      </c>
      <c r="E1066" t="s">
        <v>243</v>
      </c>
      <c r="F1066" t="s">
        <v>244</v>
      </c>
      <c r="M1066">
        <v>1</v>
      </c>
      <c r="N1066">
        <v>-10</v>
      </c>
      <c r="O1066">
        <v>0</v>
      </c>
      <c r="P1066">
        <v>37</v>
      </c>
      <c r="Q1066">
        <v>4</v>
      </c>
      <c r="R1066">
        <v>530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0</v>
      </c>
      <c r="Z1066">
        <v>0</v>
      </c>
    </row>
    <row r="1067" spans="1:38" x14ac:dyDescent="0.3">
      <c r="A1067">
        <v>330671</v>
      </c>
      <c r="B1067" t="s">
        <v>46</v>
      </c>
      <c r="C1067" t="s">
        <v>609</v>
      </c>
      <c r="D1067">
        <v>2021</v>
      </c>
      <c r="E1067" t="s">
        <v>243</v>
      </c>
      <c r="F1067" t="s">
        <v>244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0</v>
      </c>
      <c r="Z1067">
        <v>0</v>
      </c>
    </row>
    <row r="1068" spans="1:38" x14ac:dyDescent="0.3">
      <c r="A1068">
        <v>330671</v>
      </c>
      <c r="B1068" t="s">
        <v>46</v>
      </c>
      <c r="C1068" t="s">
        <v>609</v>
      </c>
      <c r="D1068">
        <v>2022</v>
      </c>
      <c r="E1068" t="s">
        <v>243</v>
      </c>
      <c r="F1068" t="s">
        <v>244</v>
      </c>
      <c r="P1068">
        <v>19</v>
      </c>
      <c r="Q1068">
        <v>4</v>
      </c>
      <c r="R1068">
        <v>378</v>
      </c>
    </row>
    <row r="1069" spans="1:38" x14ac:dyDescent="0.3">
      <c r="A1069">
        <v>330671</v>
      </c>
      <c r="B1069" t="s">
        <v>46</v>
      </c>
      <c r="C1069" t="s">
        <v>609</v>
      </c>
      <c r="D1069">
        <v>2023</v>
      </c>
      <c r="E1069" t="s">
        <v>58</v>
      </c>
      <c r="F1069" t="s">
        <v>59</v>
      </c>
      <c r="P1069">
        <v>48</v>
      </c>
      <c r="Q1069">
        <v>6</v>
      </c>
      <c r="R1069">
        <v>661</v>
      </c>
      <c r="AK1069">
        <v>1</v>
      </c>
      <c r="AL1069">
        <v>1</v>
      </c>
    </row>
    <row r="1070" spans="1:38" x14ac:dyDescent="0.3">
      <c r="A1070">
        <v>330671</v>
      </c>
      <c r="B1070" t="s">
        <v>46</v>
      </c>
      <c r="C1070" t="s">
        <v>609</v>
      </c>
      <c r="D1070">
        <v>2024</v>
      </c>
      <c r="E1070" t="s">
        <v>58</v>
      </c>
      <c r="F1070" t="s">
        <v>59</v>
      </c>
      <c r="P1070">
        <v>60</v>
      </c>
      <c r="Q1070">
        <v>4</v>
      </c>
      <c r="R1070">
        <v>884</v>
      </c>
    </row>
    <row r="1071" spans="1:38" x14ac:dyDescent="0.3">
      <c r="A1071">
        <v>330695</v>
      </c>
      <c r="B1071" t="s">
        <v>50</v>
      </c>
      <c r="C1071" t="s">
        <v>610</v>
      </c>
      <c r="D1071">
        <v>2021</v>
      </c>
      <c r="E1071" t="s">
        <v>611</v>
      </c>
      <c r="F1071" t="s">
        <v>612</v>
      </c>
      <c r="S1071">
        <v>0</v>
      </c>
      <c r="T1071">
        <v>0</v>
      </c>
      <c r="U1071">
        <v>0</v>
      </c>
      <c r="V1071">
        <v>1</v>
      </c>
      <c r="W1071">
        <v>1</v>
      </c>
      <c r="X1071">
        <v>0</v>
      </c>
      <c r="Z1071">
        <v>0</v>
      </c>
    </row>
    <row r="1072" spans="1:38" x14ac:dyDescent="0.3">
      <c r="A1072">
        <v>330695</v>
      </c>
      <c r="B1072" t="s">
        <v>50</v>
      </c>
      <c r="C1072" t="s">
        <v>610</v>
      </c>
      <c r="D1072">
        <v>2023</v>
      </c>
      <c r="E1072" t="s">
        <v>611</v>
      </c>
      <c r="F1072" t="s">
        <v>612</v>
      </c>
      <c r="S1072">
        <v>0</v>
      </c>
      <c r="T1072">
        <v>0</v>
      </c>
      <c r="U1072">
        <v>0</v>
      </c>
      <c r="V1072">
        <v>2</v>
      </c>
      <c r="W1072">
        <v>3</v>
      </c>
      <c r="X1072">
        <v>0</v>
      </c>
      <c r="Y1072">
        <v>3</v>
      </c>
      <c r="Z1072">
        <v>0</v>
      </c>
    </row>
    <row r="1073" spans="1:38" x14ac:dyDescent="0.3">
      <c r="A1073">
        <v>330695</v>
      </c>
      <c r="B1073" t="s">
        <v>50</v>
      </c>
      <c r="C1073" t="s">
        <v>610</v>
      </c>
      <c r="D1073">
        <v>2024</v>
      </c>
      <c r="E1073" t="s">
        <v>611</v>
      </c>
      <c r="F1073" t="s">
        <v>612</v>
      </c>
      <c r="S1073">
        <v>0</v>
      </c>
      <c r="T1073">
        <v>0</v>
      </c>
      <c r="U1073">
        <v>0</v>
      </c>
      <c r="V1073">
        <v>2</v>
      </c>
      <c r="W1073">
        <v>2</v>
      </c>
      <c r="X1073">
        <v>1</v>
      </c>
      <c r="Z1073">
        <v>0</v>
      </c>
      <c r="AK1073">
        <v>0</v>
      </c>
      <c r="AL1073">
        <v>0</v>
      </c>
    </row>
    <row r="1074" spans="1:38" x14ac:dyDescent="0.3">
      <c r="A1074">
        <v>330787</v>
      </c>
      <c r="B1074" t="s">
        <v>50</v>
      </c>
      <c r="C1074" t="s">
        <v>613</v>
      </c>
      <c r="D1074">
        <v>2019</v>
      </c>
      <c r="E1074" t="s">
        <v>418</v>
      </c>
      <c r="F1074" t="s">
        <v>419</v>
      </c>
      <c r="S1074">
        <v>0</v>
      </c>
      <c r="T1074">
        <v>0</v>
      </c>
      <c r="U1074">
        <v>0</v>
      </c>
      <c r="V1074">
        <v>2</v>
      </c>
      <c r="W1074">
        <v>2</v>
      </c>
      <c r="X1074">
        <v>0</v>
      </c>
      <c r="Z1074">
        <v>0</v>
      </c>
    </row>
    <row r="1075" spans="1:38" x14ac:dyDescent="0.3">
      <c r="A1075">
        <v>330787</v>
      </c>
      <c r="B1075" t="s">
        <v>50</v>
      </c>
      <c r="C1075" t="s">
        <v>613</v>
      </c>
      <c r="D1075">
        <v>2021</v>
      </c>
      <c r="E1075" t="s">
        <v>418</v>
      </c>
      <c r="F1075" t="s">
        <v>419</v>
      </c>
      <c r="S1075">
        <v>4</v>
      </c>
      <c r="T1075">
        <v>0</v>
      </c>
      <c r="U1075">
        <v>0</v>
      </c>
      <c r="V1075">
        <v>22</v>
      </c>
      <c r="W1075">
        <v>34</v>
      </c>
      <c r="X1075">
        <v>1.5</v>
      </c>
      <c r="Y1075">
        <v>4</v>
      </c>
      <c r="Z1075">
        <v>0</v>
      </c>
    </row>
    <row r="1076" spans="1:38" x14ac:dyDescent="0.3">
      <c r="A1076">
        <v>330787</v>
      </c>
      <c r="B1076" t="s">
        <v>50</v>
      </c>
      <c r="C1076" t="s">
        <v>613</v>
      </c>
      <c r="D1076">
        <v>2023</v>
      </c>
      <c r="E1076" t="s">
        <v>418</v>
      </c>
      <c r="F1076" t="s">
        <v>419</v>
      </c>
      <c r="S1076">
        <v>8</v>
      </c>
      <c r="T1076">
        <v>0</v>
      </c>
      <c r="U1076">
        <v>0</v>
      </c>
      <c r="V1076">
        <v>31</v>
      </c>
      <c r="W1076">
        <v>42</v>
      </c>
      <c r="X1076">
        <v>1</v>
      </c>
      <c r="Y1076">
        <v>1</v>
      </c>
      <c r="Z1076">
        <v>0</v>
      </c>
    </row>
    <row r="1077" spans="1:38" x14ac:dyDescent="0.3">
      <c r="A1077">
        <v>330787</v>
      </c>
      <c r="B1077" t="s">
        <v>50</v>
      </c>
      <c r="C1077" t="s">
        <v>613</v>
      </c>
      <c r="D1077">
        <v>2024</v>
      </c>
      <c r="E1077" t="s">
        <v>418</v>
      </c>
      <c r="F1077" t="s">
        <v>419</v>
      </c>
      <c r="S1077">
        <v>7</v>
      </c>
      <c r="T1077">
        <v>0</v>
      </c>
      <c r="U1077">
        <v>0</v>
      </c>
      <c r="V1077">
        <v>19</v>
      </c>
      <c r="W1077">
        <v>27</v>
      </c>
      <c r="X1077">
        <v>1</v>
      </c>
      <c r="Y1077">
        <v>3</v>
      </c>
      <c r="Z1077">
        <v>1</v>
      </c>
    </row>
    <row r="1078" spans="1:38" x14ac:dyDescent="0.3">
      <c r="A1078">
        <v>330865</v>
      </c>
      <c r="B1078" t="s">
        <v>84</v>
      </c>
      <c r="C1078" t="s">
        <v>614</v>
      </c>
      <c r="D1078">
        <v>2021</v>
      </c>
      <c r="E1078" t="s">
        <v>615</v>
      </c>
      <c r="F1078" t="s">
        <v>616</v>
      </c>
      <c r="S1078">
        <v>0</v>
      </c>
      <c r="T1078">
        <v>0</v>
      </c>
      <c r="U1078">
        <v>0</v>
      </c>
      <c r="V1078">
        <v>1</v>
      </c>
      <c r="W1078">
        <v>3</v>
      </c>
      <c r="X1078">
        <v>0.5</v>
      </c>
      <c r="Z1078">
        <v>0</v>
      </c>
      <c r="AK1078">
        <v>0</v>
      </c>
      <c r="AL1078">
        <v>0</v>
      </c>
    </row>
    <row r="1079" spans="1:38" x14ac:dyDescent="0.3">
      <c r="A1079">
        <v>330865</v>
      </c>
      <c r="B1079" t="s">
        <v>84</v>
      </c>
      <c r="C1079" t="s">
        <v>614</v>
      </c>
      <c r="D1079">
        <v>2022</v>
      </c>
      <c r="E1079" t="s">
        <v>139</v>
      </c>
      <c r="F1079" t="s">
        <v>140</v>
      </c>
      <c r="S1079">
        <v>0</v>
      </c>
      <c r="T1079">
        <v>4</v>
      </c>
      <c r="U1079">
        <v>1.5</v>
      </c>
      <c r="V1079">
        <v>65</v>
      </c>
      <c r="W1079">
        <v>117</v>
      </c>
      <c r="X1079">
        <v>5</v>
      </c>
      <c r="Z1079">
        <v>0</v>
      </c>
      <c r="AK1079">
        <v>0</v>
      </c>
      <c r="AL1079">
        <v>0</v>
      </c>
    </row>
    <row r="1080" spans="1:38" x14ac:dyDescent="0.3">
      <c r="A1080">
        <v>330865</v>
      </c>
      <c r="B1080" t="s">
        <v>84</v>
      </c>
      <c r="C1080" t="s">
        <v>614</v>
      </c>
      <c r="D1080">
        <v>2023</v>
      </c>
      <c r="E1080" t="s">
        <v>139</v>
      </c>
      <c r="F1080" t="s">
        <v>140</v>
      </c>
      <c r="S1080">
        <v>1</v>
      </c>
      <c r="T1080">
        <v>0</v>
      </c>
      <c r="U1080">
        <v>3</v>
      </c>
      <c r="V1080">
        <v>60</v>
      </c>
      <c r="W1080">
        <v>104</v>
      </c>
      <c r="X1080">
        <v>6</v>
      </c>
      <c r="Z1080">
        <v>0</v>
      </c>
      <c r="AK1080">
        <v>0</v>
      </c>
      <c r="AL1080">
        <v>0</v>
      </c>
    </row>
    <row r="1081" spans="1:38" x14ac:dyDescent="0.3">
      <c r="A1081">
        <v>331921</v>
      </c>
      <c r="B1081" t="s">
        <v>178</v>
      </c>
      <c r="C1081" t="s">
        <v>617</v>
      </c>
      <c r="D1081">
        <v>2020</v>
      </c>
      <c r="E1081" t="s">
        <v>618</v>
      </c>
      <c r="F1081" t="s">
        <v>619</v>
      </c>
      <c r="S1081">
        <v>0</v>
      </c>
      <c r="T1081">
        <v>0</v>
      </c>
      <c r="U1081">
        <v>0</v>
      </c>
      <c r="V1081">
        <v>0</v>
      </c>
      <c r="W1081">
        <v>4</v>
      </c>
      <c r="X1081">
        <v>0</v>
      </c>
      <c r="Z1081">
        <v>0</v>
      </c>
    </row>
    <row r="1082" spans="1:38" x14ac:dyDescent="0.3">
      <c r="A1082">
        <v>332504</v>
      </c>
      <c r="B1082" t="s">
        <v>54</v>
      </c>
      <c r="C1082" t="s">
        <v>620</v>
      </c>
      <c r="D1082">
        <v>2022</v>
      </c>
      <c r="E1082" t="s">
        <v>345</v>
      </c>
      <c r="F1082" t="s">
        <v>346</v>
      </c>
      <c r="G1082">
        <v>602</v>
      </c>
      <c r="H1082">
        <v>390</v>
      </c>
      <c r="I1082">
        <v>4747</v>
      </c>
      <c r="J1082">
        <v>0.64800000000000002</v>
      </c>
      <c r="K1082">
        <v>40</v>
      </c>
      <c r="L1082">
        <v>11</v>
      </c>
      <c r="M1082">
        <v>90</v>
      </c>
      <c r="N1082">
        <v>232</v>
      </c>
      <c r="O1082">
        <v>8</v>
      </c>
      <c r="AK1082">
        <v>7</v>
      </c>
      <c r="AL1082">
        <v>3</v>
      </c>
    </row>
    <row r="1083" spans="1:38" x14ac:dyDescent="0.3">
      <c r="A1083">
        <v>332504</v>
      </c>
      <c r="B1083" t="s">
        <v>54</v>
      </c>
      <c r="C1083" t="s">
        <v>620</v>
      </c>
      <c r="D1083">
        <v>2023</v>
      </c>
      <c r="E1083" t="s">
        <v>345</v>
      </c>
      <c r="F1083" t="s">
        <v>346</v>
      </c>
      <c r="G1083">
        <v>470</v>
      </c>
      <c r="H1083">
        <v>289</v>
      </c>
      <c r="I1083">
        <v>3324</v>
      </c>
      <c r="J1083">
        <v>0.61499999999999999</v>
      </c>
      <c r="K1083">
        <v>31</v>
      </c>
      <c r="L1083">
        <v>11</v>
      </c>
      <c r="M1083">
        <v>42</v>
      </c>
      <c r="N1083">
        <v>100</v>
      </c>
      <c r="O1083">
        <v>4</v>
      </c>
      <c r="AK1083">
        <v>1</v>
      </c>
      <c r="AL1083">
        <v>0</v>
      </c>
    </row>
    <row r="1084" spans="1:38" x14ac:dyDescent="0.3">
      <c r="A1084">
        <v>336471</v>
      </c>
      <c r="B1084" t="s">
        <v>46</v>
      </c>
      <c r="C1084" t="s">
        <v>621</v>
      </c>
      <c r="D1084">
        <v>2019</v>
      </c>
      <c r="E1084" t="s">
        <v>152</v>
      </c>
      <c r="F1084" t="s">
        <v>153</v>
      </c>
      <c r="G1084">
        <v>10</v>
      </c>
      <c r="H1084">
        <v>3</v>
      </c>
      <c r="I1084">
        <v>38</v>
      </c>
      <c r="J1084">
        <v>0.3</v>
      </c>
      <c r="K1084">
        <v>0</v>
      </c>
      <c r="L1084">
        <v>1</v>
      </c>
      <c r="M1084">
        <v>9</v>
      </c>
      <c r="N1084">
        <v>16</v>
      </c>
      <c r="O1084">
        <v>0</v>
      </c>
      <c r="P1084">
        <v>3</v>
      </c>
      <c r="Q1084">
        <v>0</v>
      </c>
      <c r="R1084">
        <v>9</v>
      </c>
      <c r="AK1084">
        <v>1</v>
      </c>
      <c r="AL1084">
        <v>1</v>
      </c>
    </row>
    <row r="1085" spans="1:38" x14ac:dyDescent="0.3">
      <c r="A1085">
        <v>336471</v>
      </c>
      <c r="B1085" t="s">
        <v>46</v>
      </c>
      <c r="C1085" t="s">
        <v>621</v>
      </c>
      <c r="D1085">
        <v>2020</v>
      </c>
      <c r="E1085" t="s">
        <v>152</v>
      </c>
      <c r="F1085" t="s">
        <v>153</v>
      </c>
      <c r="G1085">
        <v>63</v>
      </c>
      <c r="H1085">
        <v>26</v>
      </c>
      <c r="I1085">
        <v>393</v>
      </c>
      <c r="J1085">
        <v>0.41299999999999998</v>
      </c>
      <c r="K1085">
        <v>4</v>
      </c>
      <c r="L1085">
        <v>2</v>
      </c>
      <c r="M1085">
        <v>63</v>
      </c>
      <c r="N1085">
        <v>389</v>
      </c>
      <c r="O1085">
        <v>1</v>
      </c>
      <c r="AK1085">
        <v>3</v>
      </c>
      <c r="AL1085">
        <v>2</v>
      </c>
    </row>
    <row r="1086" spans="1:38" x14ac:dyDescent="0.3">
      <c r="A1086">
        <v>336471</v>
      </c>
      <c r="B1086" t="s">
        <v>46</v>
      </c>
      <c r="C1086" t="s">
        <v>621</v>
      </c>
      <c r="D1086">
        <v>2021</v>
      </c>
      <c r="E1086" t="s">
        <v>152</v>
      </c>
      <c r="F1086" t="s">
        <v>153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12</v>
      </c>
      <c r="N1086">
        <v>61</v>
      </c>
      <c r="O1086">
        <v>2</v>
      </c>
      <c r="P1086">
        <v>47</v>
      </c>
      <c r="Q1086">
        <v>4</v>
      </c>
      <c r="R1086">
        <v>525</v>
      </c>
    </row>
    <row r="1087" spans="1:38" x14ac:dyDescent="0.3">
      <c r="A1087">
        <v>336471</v>
      </c>
      <c r="B1087" t="s">
        <v>46</v>
      </c>
      <c r="C1087" t="s">
        <v>621</v>
      </c>
      <c r="D1087">
        <v>2022</v>
      </c>
      <c r="E1087" t="s">
        <v>152</v>
      </c>
      <c r="F1087" t="s">
        <v>153</v>
      </c>
      <c r="M1087">
        <v>7</v>
      </c>
      <c r="N1087">
        <v>5</v>
      </c>
      <c r="O1087">
        <v>0</v>
      </c>
      <c r="P1087">
        <v>81</v>
      </c>
      <c r="Q1087">
        <v>5</v>
      </c>
      <c r="R1087">
        <v>709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0</v>
      </c>
      <c r="Z1087">
        <v>0</v>
      </c>
      <c r="AF1087">
        <v>7.5</v>
      </c>
      <c r="AG1087">
        <v>24</v>
      </c>
      <c r="AH1087">
        <v>16</v>
      </c>
      <c r="AI1087">
        <v>0</v>
      </c>
      <c r="AJ1087">
        <v>120</v>
      </c>
      <c r="AK1087">
        <v>4</v>
      </c>
      <c r="AL1087">
        <v>3</v>
      </c>
    </row>
    <row r="1088" spans="1:38" x14ac:dyDescent="0.3">
      <c r="A1088">
        <v>336471</v>
      </c>
      <c r="B1088" t="s">
        <v>46</v>
      </c>
      <c r="C1088" t="s">
        <v>621</v>
      </c>
      <c r="D1088">
        <v>2023</v>
      </c>
      <c r="E1088" t="s">
        <v>152</v>
      </c>
      <c r="F1088" t="s">
        <v>153</v>
      </c>
      <c r="G1088">
        <v>1</v>
      </c>
      <c r="H1088">
        <v>1</v>
      </c>
      <c r="I1088">
        <v>14</v>
      </c>
      <c r="J1088">
        <v>1</v>
      </c>
      <c r="K1088">
        <v>1</v>
      </c>
      <c r="L1088">
        <v>0</v>
      </c>
      <c r="M1088">
        <v>12</v>
      </c>
      <c r="N1088">
        <v>38</v>
      </c>
      <c r="O1088">
        <v>0</v>
      </c>
      <c r="P1088">
        <v>82</v>
      </c>
      <c r="Q1088">
        <v>5</v>
      </c>
      <c r="R1088">
        <v>1055</v>
      </c>
      <c r="AF1088">
        <v>11.5</v>
      </c>
      <c r="AG1088">
        <v>31</v>
      </c>
      <c r="AH1088">
        <v>11</v>
      </c>
      <c r="AI1088">
        <v>0</v>
      </c>
      <c r="AJ1088">
        <v>127</v>
      </c>
      <c r="AK1088">
        <v>3</v>
      </c>
      <c r="AL1088">
        <v>3</v>
      </c>
    </row>
    <row r="1089" spans="1:38" x14ac:dyDescent="0.3">
      <c r="A1089">
        <v>336489</v>
      </c>
      <c r="B1089" t="s">
        <v>84</v>
      </c>
      <c r="C1089" t="s">
        <v>622</v>
      </c>
      <c r="D1089">
        <v>2019</v>
      </c>
      <c r="E1089" t="s">
        <v>623</v>
      </c>
      <c r="F1089" t="s">
        <v>624</v>
      </c>
      <c r="S1089">
        <v>1</v>
      </c>
      <c r="T1089">
        <v>0</v>
      </c>
      <c r="U1089">
        <v>0.5</v>
      </c>
      <c r="V1089">
        <v>30</v>
      </c>
      <c r="W1089">
        <v>65</v>
      </c>
      <c r="X1089">
        <v>2</v>
      </c>
      <c r="Z1089">
        <v>0</v>
      </c>
      <c r="AK1089">
        <v>0</v>
      </c>
      <c r="AL1089">
        <v>0</v>
      </c>
    </row>
    <row r="1090" spans="1:38" x14ac:dyDescent="0.3">
      <c r="A1090">
        <v>336489</v>
      </c>
      <c r="B1090" t="s">
        <v>84</v>
      </c>
      <c r="C1090" t="s">
        <v>622</v>
      </c>
      <c r="D1090">
        <v>2021</v>
      </c>
      <c r="E1090" t="s">
        <v>623</v>
      </c>
      <c r="F1090" t="s">
        <v>624</v>
      </c>
      <c r="S1090">
        <v>2</v>
      </c>
      <c r="T1090">
        <v>0</v>
      </c>
      <c r="U1090">
        <v>1.5</v>
      </c>
      <c r="V1090">
        <v>40</v>
      </c>
      <c r="W1090">
        <v>113</v>
      </c>
      <c r="X1090">
        <v>5</v>
      </c>
      <c r="Y1090">
        <v>1</v>
      </c>
      <c r="Z1090">
        <v>0</v>
      </c>
    </row>
    <row r="1091" spans="1:38" x14ac:dyDescent="0.3">
      <c r="A1091">
        <v>336489</v>
      </c>
      <c r="B1091" t="s">
        <v>84</v>
      </c>
      <c r="C1091" t="s">
        <v>622</v>
      </c>
      <c r="D1091">
        <v>2022</v>
      </c>
      <c r="E1091" t="s">
        <v>623</v>
      </c>
      <c r="F1091" t="s">
        <v>624</v>
      </c>
      <c r="S1091">
        <v>3</v>
      </c>
      <c r="T1091">
        <v>2</v>
      </c>
      <c r="U1091">
        <v>4.5</v>
      </c>
      <c r="V1091">
        <v>50</v>
      </c>
      <c r="W1091">
        <v>133</v>
      </c>
      <c r="X1091">
        <v>7</v>
      </c>
      <c r="Y1091">
        <v>1</v>
      </c>
      <c r="Z1091">
        <v>0</v>
      </c>
      <c r="AK1091">
        <v>0</v>
      </c>
      <c r="AL1091">
        <v>0</v>
      </c>
    </row>
    <row r="1092" spans="1:38" x14ac:dyDescent="0.3">
      <c r="A1092">
        <v>336489</v>
      </c>
      <c r="B1092" t="s">
        <v>84</v>
      </c>
      <c r="C1092" t="s">
        <v>622</v>
      </c>
      <c r="D1092">
        <v>2023</v>
      </c>
      <c r="E1092" t="s">
        <v>623</v>
      </c>
      <c r="F1092" t="s">
        <v>624</v>
      </c>
      <c r="S1092">
        <v>1</v>
      </c>
      <c r="T1092">
        <v>4</v>
      </c>
      <c r="U1092">
        <v>1</v>
      </c>
      <c r="V1092">
        <v>56</v>
      </c>
      <c r="W1092">
        <v>113</v>
      </c>
      <c r="X1092">
        <v>7</v>
      </c>
      <c r="Y1092">
        <v>1</v>
      </c>
      <c r="Z1092">
        <v>0</v>
      </c>
      <c r="AK1092">
        <v>0</v>
      </c>
      <c r="AL1092">
        <v>0</v>
      </c>
    </row>
    <row r="1093" spans="1:38" x14ac:dyDescent="0.3">
      <c r="A1093">
        <v>336496</v>
      </c>
      <c r="B1093" t="s">
        <v>54</v>
      </c>
      <c r="C1093" t="s">
        <v>625</v>
      </c>
      <c r="D1093">
        <v>2019</v>
      </c>
      <c r="E1093" t="s">
        <v>529</v>
      </c>
      <c r="F1093" t="s">
        <v>530</v>
      </c>
      <c r="G1093">
        <v>149</v>
      </c>
      <c r="H1093">
        <v>79</v>
      </c>
      <c r="I1093">
        <v>910</v>
      </c>
      <c r="J1093">
        <v>0.53</v>
      </c>
      <c r="K1093">
        <v>4</v>
      </c>
      <c r="L1093">
        <v>2</v>
      </c>
      <c r="M1093">
        <v>154</v>
      </c>
      <c r="N1093">
        <v>1020</v>
      </c>
      <c r="O1093">
        <v>12</v>
      </c>
      <c r="AK1093">
        <v>4</v>
      </c>
      <c r="AL1093">
        <v>3</v>
      </c>
    </row>
    <row r="1094" spans="1:38" x14ac:dyDescent="0.3">
      <c r="A1094">
        <v>336496</v>
      </c>
      <c r="B1094" t="s">
        <v>54</v>
      </c>
      <c r="C1094" t="s">
        <v>625</v>
      </c>
      <c r="D1094">
        <v>2020</v>
      </c>
      <c r="E1094" t="s">
        <v>529</v>
      </c>
      <c r="F1094" t="s">
        <v>530</v>
      </c>
      <c r="G1094">
        <v>6</v>
      </c>
      <c r="H1094">
        <v>4</v>
      </c>
      <c r="I1094">
        <v>51</v>
      </c>
      <c r="J1094">
        <v>0.66700000000000004</v>
      </c>
      <c r="K1094">
        <v>1</v>
      </c>
      <c r="L1094">
        <v>0</v>
      </c>
      <c r="M1094">
        <v>25</v>
      </c>
      <c r="N1094">
        <v>94</v>
      </c>
      <c r="O1094">
        <v>0</v>
      </c>
      <c r="P1094">
        <v>6</v>
      </c>
      <c r="Q1094">
        <v>0</v>
      </c>
      <c r="R1094">
        <v>79</v>
      </c>
    </row>
    <row r="1095" spans="1:38" x14ac:dyDescent="0.3">
      <c r="A1095">
        <v>336496</v>
      </c>
      <c r="B1095" t="s">
        <v>54</v>
      </c>
      <c r="C1095" t="s">
        <v>625</v>
      </c>
      <c r="D1095">
        <v>2021</v>
      </c>
      <c r="E1095" t="s">
        <v>529</v>
      </c>
      <c r="F1095" t="s">
        <v>530</v>
      </c>
      <c r="G1095">
        <v>1</v>
      </c>
      <c r="H1095">
        <v>1</v>
      </c>
      <c r="I1095">
        <v>6</v>
      </c>
      <c r="J1095">
        <v>1</v>
      </c>
      <c r="K1095">
        <v>0</v>
      </c>
      <c r="L1095">
        <v>0</v>
      </c>
      <c r="M1095">
        <v>9</v>
      </c>
      <c r="N1095">
        <v>72</v>
      </c>
      <c r="O1095">
        <v>0</v>
      </c>
      <c r="P1095">
        <v>19</v>
      </c>
      <c r="Q1095">
        <v>0</v>
      </c>
      <c r="R1095">
        <v>201</v>
      </c>
      <c r="AA1095">
        <v>7</v>
      </c>
      <c r="AB1095">
        <v>14</v>
      </c>
      <c r="AC1095">
        <v>2</v>
      </c>
      <c r="AD1095">
        <v>0</v>
      </c>
      <c r="AE1095">
        <v>14</v>
      </c>
    </row>
    <row r="1096" spans="1:38" x14ac:dyDescent="0.3">
      <c r="A1096">
        <v>336496</v>
      </c>
      <c r="B1096" t="s">
        <v>54</v>
      </c>
      <c r="C1096" t="s">
        <v>625</v>
      </c>
      <c r="D1096">
        <v>2022</v>
      </c>
      <c r="E1096" t="s">
        <v>139</v>
      </c>
      <c r="F1096" t="s">
        <v>140</v>
      </c>
      <c r="G1096">
        <v>346</v>
      </c>
      <c r="H1096">
        <v>218</v>
      </c>
      <c r="I1096">
        <v>2586</v>
      </c>
      <c r="J1096">
        <v>0.63</v>
      </c>
      <c r="K1096">
        <v>14</v>
      </c>
      <c r="L1096">
        <v>8</v>
      </c>
      <c r="M1096">
        <v>158</v>
      </c>
      <c r="N1096">
        <v>848</v>
      </c>
      <c r="O1096">
        <v>11</v>
      </c>
      <c r="P1096">
        <v>1</v>
      </c>
      <c r="Q1096">
        <v>0</v>
      </c>
      <c r="R1096">
        <v>16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Z1096">
        <v>0</v>
      </c>
      <c r="AK1096">
        <v>6</v>
      </c>
      <c r="AL1096">
        <v>3</v>
      </c>
    </row>
    <row r="1097" spans="1:38" x14ac:dyDescent="0.3">
      <c r="A1097">
        <v>336496</v>
      </c>
      <c r="B1097" t="s">
        <v>54</v>
      </c>
      <c r="C1097" t="s">
        <v>625</v>
      </c>
      <c r="D1097">
        <v>2023</v>
      </c>
      <c r="E1097" t="s">
        <v>139</v>
      </c>
      <c r="F1097" t="s">
        <v>140</v>
      </c>
      <c r="G1097">
        <v>256</v>
      </c>
      <c r="H1097">
        <v>161</v>
      </c>
      <c r="I1097">
        <v>2271</v>
      </c>
      <c r="J1097">
        <v>0.629</v>
      </c>
      <c r="K1097">
        <v>15</v>
      </c>
      <c r="L1097">
        <v>8</v>
      </c>
      <c r="M1097">
        <v>106</v>
      </c>
      <c r="N1097">
        <v>505</v>
      </c>
      <c r="O1097">
        <v>5</v>
      </c>
      <c r="AK1097">
        <v>4</v>
      </c>
      <c r="AL1097">
        <v>3</v>
      </c>
    </row>
    <row r="1098" spans="1:38" x14ac:dyDescent="0.3">
      <c r="A1098">
        <v>337048</v>
      </c>
      <c r="B1098" t="s">
        <v>54</v>
      </c>
      <c r="C1098" t="s">
        <v>626</v>
      </c>
      <c r="D1098">
        <v>2019</v>
      </c>
      <c r="E1098" t="s">
        <v>71</v>
      </c>
      <c r="F1098" t="s">
        <v>72</v>
      </c>
      <c r="G1098">
        <v>210</v>
      </c>
      <c r="H1098">
        <v>101</v>
      </c>
      <c r="I1098">
        <v>1219</v>
      </c>
      <c r="J1098">
        <v>0.48099999999999998</v>
      </c>
      <c r="K1098">
        <v>8</v>
      </c>
      <c r="L1098">
        <v>5</v>
      </c>
      <c r="M1098">
        <v>40</v>
      </c>
      <c r="N1098">
        <v>46</v>
      </c>
      <c r="O1098">
        <v>0</v>
      </c>
      <c r="S1098">
        <v>0</v>
      </c>
      <c r="T1098">
        <v>0</v>
      </c>
      <c r="U1098">
        <v>0</v>
      </c>
      <c r="V1098">
        <v>3</v>
      </c>
      <c r="W1098">
        <v>4</v>
      </c>
      <c r="X1098">
        <v>1</v>
      </c>
      <c r="Z1098">
        <v>0</v>
      </c>
      <c r="AK1098">
        <v>5</v>
      </c>
      <c r="AL1098">
        <v>1</v>
      </c>
    </row>
    <row r="1099" spans="1:38" x14ac:dyDescent="0.3">
      <c r="A1099">
        <v>337048</v>
      </c>
      <c r="B1099" t="s">
        <v>54</v>
      </c>
      <c r="C1099" t="s">
        <v>626</v>
      </c>
      <c r="D1099">
        <v>2020</v>
      </c>
      <c r="E1099" t="s">
        <v>71</v>
      </c>
      <c r="F1099" t="s">
        <v>72</v>
      </c>
      <c r="G1099">
        <v>109</v>
      </c>
      <c r="H1099">
        <v>65</v>
      </c>
      <c r="I1099">
        <v>879</v>
      </c>
      <c r="J1099">
        <v>0.59599999999999997</v>
      </c>
      <c r="K1099">
        <v>8</v>
      </c>
      <c r="L1099">
        <v>2</v>
      </c>
      <c r="M1099">
        <v>19</v>
      </c>
      <c r="N1099">
        <v>7</v>
      </c>
      <c r="O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Z1099">
        <v>0</v>
      </c>
      <c r="AK1099">
        <v>1</v>
      </c>
      <c r="AL1099">
        <v>1</v>
      </c>
    </row>
    <row r="1100" spans="1:38" x14ac:dyDescent="0.3">
      <c r="A1100">
        <v>337048</v>
      </c>
      <c r="B1100" t="s">
        <v>54</v>
      </c>
      <c r="C1100" t="s">
        <v>626</v>
      </c>
      <c r="D1100">
        <v>2021</v>
      </c>
      <c r="E1100" t="s">
        <v>71</v>
      </c>
      <c r="F1100" t="s">
        <v>72</v>
      </c>
      <c r="G1100">
        <v>431</v>
      </c>
      <c r="H1100">
        <v>283</v>
      </c>
      <c r="I1100">
        <v>3433</v>
      </c>
      <c r="J1100">
        <v>0.65700000000000003</v>
      </c>
      <c r="K1100">
        <v>35</v>
      </c>
      <c r="L1100">
        <v>5</v>
      </c>
      <c r="M1100">
        <v>54</v>
      </c>
      <c r="N1100">
        <v>-73</v>
      </c>
      <c r="O1100">
        <v>2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0</v>
      </c>
      <c r="Z1100">
        <v>0</v>
      </c>
      <c r="AK1100">
        <v>3</v>
      </c>
      <c r="AL1100">
        <v>1</v>
      </c>
    </row>
    <row r="1101" spans="1:38" x14ac:dyDescent="0.3">
      <c r="A1101">
        <v>337048</v>
      </c>
      <c r="B1101" t="s">
        <v>54</v>
      </c>
      <c r="C1101" t="s">
        <v>626</v>
      </c>
      <c r="D1101">
        <v>2022</v>
      </c>
      <c r="E1101" t="s">
        <v>71</v>
      </c>
      <c r="F1101" t="s">
        <v>72</v>
      </c>
      <c r="G1101">
        <v>193</v>
      </c>
      <c r="H1101">
        <v>118</v>
      </c>
      <c r="I1101">
        <v>1265</v>
      </c>
      <c r="J1101">
        <v>0.61099999999999999</v>
      </c>
      <c r="K1101">
        <v>11</v>
      </c>
      <c r="L1101">
        <v>4</v>
      </c>
      <c r="M1101">
        <v>23</v>
      </c>
      <c r="N1101">
        <v>1</v>
      </c>
      <c r="O1101">
        <v>3</v>
      </c>
      <c r="AK1101">
        <v>1</v>
      </c>
      <c r="AL1101">
        <v>0</v>
      </c>
    </row>
    <row r="1102" spans="1:38" x14ac:dyDescent="0.3">
      <c r="A1102">
        <v>337048</v>
      </c>
      <c r="B1102" t="s">
        <v>54</v>
      </c>
      <c r="C1102" t="s">
        <v>626</v>
      </c>
      <c r="D1102">
        <v>2023</v>
      </c>
      <c r="E1102" t="s">
        <v>579</v>
      </c>
      <c r="F1102" t="s">
        <v>580</v>
      </c>
      <c r="G1102">
        <v>371</v>
      </c>
      <c r="H1102">
        <v>209</v>
      </c>
      <c r="I1102">
        <v>2746</v>
      </c>
      <c r="J1102">
        <v>0.56299999999999994</v>
      </c>
      <c r="K1102">
        <v>25</v>
      </c>
      <c r="L1102">
        <v>12</v>
      </c>
      <c r="M1102">
        <v>42</v>
      </c>
      <c r="N1102">
        <v>-60</v>
      </c>
      <c r="O1102">
        <v>1</v>
      </c>
      <c r="P1102">
        <v>1</v>
      </c>
      <c r="Q1102">
        <v>0</v>
      </c>
      <c r="R1102">
        <v>-4</v>
      </c>
      <c r="AK1102">
        <v>4</v>
      </c>
      <c r="AL1102">
        <v>2</v>
      </c>
    </row>
    <row r="1103" spans="1:38" x14ac:dyDescent="0.3">
      <c r="A1103">
        <v>337079</v>
      </c>
      <c r="B1103" t="s">
        <v>178</v>
      </c>
      <c r="C1103" t="s">
        <v>627</v>
      </c>
      <c r="D1103">
        <v>2020</v>
      </c>
      <c r="E1103" t="s">
        <v>220</v>
      </c>
      <c r="F1103" t="s">
        <v>221</v>
      </c>
      <c r="S1103">
        <v>0</v>
      </c>
      <c r="T1103">
        <v>0</v>
      </c>
      <c r="U1103">
        <v>0</v>
      </c>
      <c r="V1103">
        <v>1</v>
      </c>
      <c r="W1103">
        <v>1</v>
      </c>
      <c r="X1103">
        <v>0</v>
      </c>
      <c r="Z1103">
        <v>0</v>
      </c>
    </row>
    <row r="1104" spans="1:38" x14ac:dyDescent="0.3">
      <c r="A1104">
        <v>337079</v>
      </c>
      <c r="B1104" t="s">
        <v>178</v>
      </c>
      <c r="C1104" t="s">
        <v>627</v>
      </c>
      <c r="D1104">
        <v>2021</v>
      </c>
      <c r="E1104" t="s">
        <v>220</v>
      </c>
      <c r="F1104" t="s">
        <v>221</v>
      </c>
      <c r="P1104">
        <v>1</v>
      </c>
      <c r="Q1104">
        <v>0</v>
      </c>
      <c r="R1104">
        <v>0</v>
      </c>
    </row>
    <row r="1105" spans="1:38" x14ac:dyDescent="0.3">
      <c r="A1105">
        <v>337156</v>
      </c>
      <c r="B1105" t="s">
        <v>50</v>
      </c>
      <c r="C1105" t="s">
        <v>628</v>
      </c>
      <c r="D1105">
        <v>2019</v>
      </c>
      <c r="E1105" t="s">
        <v>373</v>
      </c>
      <c r="F1105" t="s">
        <v>374</v>
      </c>
      <c r="S1105">
        <v>0</v>
      </c>
      <c r="T1105">
        <v>0</v>
      </c>
      <c r="U1105">
        <v>0</v>
      </c>
      <c r="V1105">
        <v>4</v>
      </c>
      <c r="W1105">
        <v>5</v>
      </c>
      <c r="X1105">
        <v>0</v>
      </c>
      <c r="Z1105">
        <v>0</v>
      </c>
    </row>
    <row r="1106" spans="1:38" x14ac:dyDescent="0.3">
      <c r="A1106">
        <v>337156</v>
      </c>
      <c r="B1106" t="s">
        <v>50</v>
      </c>
      <c r="C1106" t="s">
        <v>628</v>
      </c>
      <c r="D1106">
        <v>2020</v>
      </c>
      <c r="E1106" t="s">
        <v>373</v>
      </c>
      <c r="F1106" t="s">
        <v>374</v>
      </c>
      <c r="S1106">
        <v>0</v>
      </c>
      <c r="T1106">
        <v>0</v>
      </c>
      <c r="U1106">
        <v>0</v>
      </c>
      <c r="V1106">
        <v>4</v>
      </c>
      <c r="W1106">
        <v>5</v>
      </c>
      <c r="X1106">
        <v>1</v>
      </c>
      <c r="Z1106">
        <v>0</v>
      </c>
    </row>
    <row r="1107" spans="1:38" x14ac:dyDescent="0.3">
      <c r="A1107">
        <v>337156</v>
      </c>
      <c r="B1107" t="s">
        <v>50</v>
      </c>
      <c r="C1107" t="s">
        <v>628</v>
      </c>
      <c r="D1107">
        <v>2021</v>
      </c>
      <c r="E1107" t="s">
        <v>373</v>
      </c>
      <c r="F1107" t="s">
        <v>374</v>
      </c>
      <c r="S1107">
        <v>0</v>
      </c>
      <c r="T1107">
        <v>0</v>
      </c>
      <c r="U1107">
        <v>0</v>
      </c>
      <c r="V1107">
        <v>2</v>
      </c>
      <c r="W1107">
        <v>3</v>
      </c>
      <c r="X1107">
        <v>0</v>
      </c>
      <c r="Z1107">
        <v>0</v>
      </c>
    </row>
    <row r="1108" spans="1:38" x14ac:dyDescent="0.3">
      <c r="A1108">
        <v>337156</v>
      </c>
      <c r="B1108" t="s">
        <v>50</v>
      </c>
      <c r="C1108" t="s">
        <v>628</v>
      </c>
      <c r="D1108">
        <v>2022</v>
      </c>
      <c r="E1108" t="s">
        <v>373</v>
      </c>
      <c r="F1108" t="s">
        <v>374</v>
      </c>
      <c r="S1108">
        <v>10</v>
      </c>
      <c r="T1108">
        <v>0</v>
      </c>
      <c r="U1108">
        <v>1</v>
      </c>
      <c r="V1108">
        <v>33</v>
      </c>
      <c r="W1108">
        <v>50</v>
      </c>
      <c r="X1108">
        <v>4.5</v>
      </c>
      <c r="Z1108">
        <v>0</v>
      </c>
    </row>
    <row r="1109" spans="1:38" x14ac:dyDescent="0.3">
      <c r="A1109">
        <v>337156</v>
      </c>
      <c r="B1109" t="s">
        <v>50</v>
      </c>
      <c r="C1109" t="s">
        <v>628</v>
      </c>
      <c r="D1109">
        <v>2023</v>
      </c>
      <c r="E1109" t="s">
        <v>489</v>
      </c>
      <c r="F1109" t="s">
        <v>490</v>
      </c>
      <c r="S1109">
        <v>8</v>
      </c>
      <c r="T1109">
        <v>0</v>
      </c>
      <c r="U1109">
        <v>1</v>
      </c>
      <c r="V1109">
        <v>28</v>
      </c>
      <c r="W1109">
        <v>31</v>
      </c>
      <c r="X1109">
        <v>3</v>
      </c>
      <c r="Z1109">
        <v>0</v>
      </c>
    </row>
    <row r="1110" spans="1:38" x14ac:dyDescent="0.3">
      <c r="A1110">
        <v>337511</v>
      </c>
      <c r="B1110" t="s">
        <v>84</v>
      </c>
      <c r="C1110" t="s">
        <v>629</v>
      </c>
      <c r="D1110">
        <v>2019</v>
      </c>
      <c r="E1110" t="s">
        <v>630</v>
      </c>
      <c r="F1110" t="s">
        <v>631</v>
      </c>
      <c r="S1110">
        <v>1</v>
      </c>
      <c r="T1110">
        <v>1</v>
      </c>
      <c r="U1110">
        <v>0</v>
      </c>
      <c r="V1110">
        <v>2</v>
      </c>
      <c r="W1110">
        <v>6</v>
      </c>
      <c r="X1110">
        <v>0</v>
      </c>
      <c r="Z1110">
        <v>0</v>
      </c>
    </row>
    <row r="1111" spans="1:38" x14ac:dyDescent="0.3">
      <c r="A1111">
        <v>337511</v>
      </c>
      <c r="B1111" t="s">
        <v>84</v>
      </c>
      <c r="C1111" t="s">
        <v>629</v>
      </c>
      <c r="D1111">
        <v>2020</v>
      </c>
      <c r="E1111" t="s">
        <v>630</v>
      </c>
      <c r="F1111" t="s">
        <v>631</v>
      </c>
      <c r="S1111">
        <v>2</v>
      </c>
      <c r="T1111">
        <v>0</v>
      </c>
      <c r="U1111">
        <v>1</v>
      </c>
      <c r="V1111">
        <v>30</v>
      </c>
      <c r="W1111">
        <v>65</v>
      </c>
      <c r="X1111">
        <v>1.5</v>
      </c>
      <c r="Z1111">
        <v>0</v>
      </c>
    </row>
    <row r="1112" spans="1:38" x14ac:dyDescent="0.3">
      <c r="A1112">
        <v>337511</v>
      </c>
      <c r="B1112" t="s">
        <v>84</v>
      </c>
      <c r="C1112" t="s">
        <v>629</v>
      </c>
      <c r="D1112">
        <v>2021</v>
      </c>
      <c r="E1112" t="s">
        <v>630</v>
      </c>
      <c r="F1112" t="s">
        <v>631</v>
      </c>
      <c r="S1112">
        <v>1</v>
      </c>
      <c r="T1112">
        <v>2</v>
      </c>
      <c r="U1112">
        <v>1</v>
      </c>
      <c r="V1112">
        <v>43</v>
      </c>
      <c r="W1112">
        <v>71</v>
      </c>
      <c r="X1112">
        <v>11.5</v>
      </c>
      <c r="Z1112">
        <v>0</v>
      </c>
    </row>
    <row r="1113" spans="1:38" x14ac:dyDescent="0.3">
      <c r="A1113">
        <v>337511</v>
      </c>
      <c r="B1113" t="s">
        <v>84</v>
      </c>
      <c r="C1113" t="s">
        <v>629</v>
      </c>
      <c r="D1113">
        <v>2022</v>
      </c>
      <c r="E1113" t="s">
        <v>630</v>
      </c>
      <c r="F1113" t="s">
        <v>631</v>
      </c>
      <c r="S1113">
        <v>0</v>
      </c>
      <c r="T1113">
        <v>2</v>
      </c>
      <c r="U1113">
        <v>1</v>
      </c>
      <c r="V1113">
        <v>52</v>
      </c>
      <c r="W1113">
        <v>106</v>
      </c>
      <c r="X1113">
        <v>6.5</v>
      </c>
      <c r="Y1113">
        <v>1</v>
      </c>
      <c r="Z1113">
        <v>0</v>
      </c>
      <c r="AK1113">
        <v>0</v>
      </c>
      <c r="AL1113">
        <v>0</v>
      </c>
    </row>
    <row r="1114" spans="1:38" x14ac:dyDescent="0.3">
      <c r="A1114">
        <v>337575</v>
      </c>
      <c r="B1114" t="s">
        <v>46</v>
      </c>
      <c r="C1114" t="s">
        <v>632</v>
      </c>
      <c r="D1114">
        <v>2017</v>
      </c>
      <c r="E1114" t="s">
        <v>67</v>
      </c>
      <c r="F1114" t="s">
        <v>68</v>
      </c>
      <c r="P1114">
        <v>54</v>
      </c>
      <c r="Q1114">
        <v>1</v>
      </c>
      <c r="R1114">
        <v>701</v>
      </c>
      <c r="AA1114">
        <v>1</v>
      </c>
      <c r="AB1114">
        <v>1</v>
      </c>
      <c r="AC1114">
        <v>1</v>
      </c>
      <c r="AD1114">
        <v>0</v>
      </c>
      <c r="AE1114">
        <v>1</v>
      </c>
    </row>
    <row r="1115" spans="1:38" x14ac:dyDescent="0.3">
      <c r="A1115">
        <v>337575</v>
      </c>
      <c r="B1115" t="s">
        <v>46</v>
      </c>
      <c r="C1115" t="s">
        <v>632</v>
      </c>
      <c r="D1115">
        <v>2018</v>
      </c>
      <c r="E1115" t="s">
        <v>67</v>
      </c>
      <c r="F1115" t="s">
        <v>68</v>
      </c>
      <c r="P1115">
        <v>25</v>
      </c>
      <c r="Q1115">
        <v>1</v>
      </c>
      <c r="R1115">
        <v>352</v>
      </c>
    </row>
    <row r="1116" spans="1:38" x14ac:dyDescent="0.3">
      <c r="A1116">
        <v>337575</v>
      </c>
      <c r="B1116" t="s">
        <v>46</v>
      </c>
      <c r="C1116" t="s">
        <v>632</v>
      </c>
      <c r="D1116">
        <v>2019</v>
      </c>
      <c r="E1116" t="s">
        <v>102</v>
      </c>
      <c r="F1116" t="s">
        <v>103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P1116">
        <v>30</v>
      </c>
      <c r="Q1116">
        <v>4</v>
      </c>
      <c r="R1116">
        <v>467</v>
      </c>
    </row>
    <row r="1117" spans="1:38" x14ac:dyDescent="0.3">
      <c r="A1117">
        <v>337584</v>
      </c>
      <c r="B1117" t="s">
        <v>50</v>
      </c>
      <c r="C1117" t="s">
        <v>633</v>
      </c>
      <c r="D1117">
        <v>2020</v>
      </c>
      <c r="E1117" t="s">
        <v>67</v>
      </c>
      <c r="F1117" t="s">
        <v>68</v>
      </c>
      <c r="S1117">
        <v>2</v>
      </c>
      <c r="T1117">
        <v>1</v>
      </c>
      <c r="U1117">
        <v>1</v>
      </c>
      <c r="V1117">
        <v>8</v>
      </c>
      <c r="W1117">
        <v>10</v>
      </c>
      <c r="X1117">
        <v>1</v>
      </c>
      <c r="Z1117">
        <v>0</v>
      </c>
    </row>
    <row r="1118" spans="1:38" x14ac:dyDescent="0.3">
      <c r="A1118">
        <v>337584</v>
      </c>
      <c r="B1118" t="s">
        <v>50</v>
      </c>
      <c r="C1118" t="s">
        <v>633</v>
      </c>
      <c r="D1118">
        <v>2021</v>
      </c>
      <c r="E1118" t="s">
        <v>67</v>
      </c>
      <c r="F1118" t="s">
        <v>68</v>
      </c>
      <c r="S1118">
        <v>6</v>
      </c>
      <c r="T1118">
        <v>0</v>
      </c>
      <c r="U1118">
        <v>1</v>
      </c>
      <c r="V1118">
        <v>11</v>
      </c>
      <c r="W1118">
        <v>15</v>
      </c>
      <c r="X1118">
        <v>3</v>
      </c>
      <c r="Y1118">
        <v>2</v>
      </c>
      <c r="Z1118">
        <v>1</v>
      </c>
    </row>
    <row r="1119" spans="1:38" x14ac:dyDescent="0.3">
      <c r="A1119">
        <v>337584</v>
      </c>
      <c r="B1119" t="s">
        <v>50</v>
      </c>
      <c r="C1119" t="s">
        <v>633</v>
      </c>
      <c r="D1119">
        <v>2022</v>
      </c>
      <c r="E1119" t="s">
        <v>67</v>
      </c>
      <c r="F1119" t="s">
        <v>68</v>
      </c>
      <c r="S1119">
        <v>2</v>
      </c>
      <c r="T1119">
        <v>1</v>
      </c>
      <c r="U1119">
        <v>0.5</v>
      </c>
      <c r="V1119">
        <v>9</v>
      </c>
      <c r="W1119">
        <v>13</v>
      </c>
      <c r="X1119">
        <v>0.5</v>
      </c>
      <c r="Y1119">
        <v>1</v>
      </c>
      <c r="Z1119">
        <v>0</v>
      </c>
      <c r="AA1119">
        <v>14</v>
      </c>
      <c r="AB1119">
        <v>22</v>
      </c>
      <c r="AC1119">
        <v>2</v>
      </c>
      <c r="AD1119">
        <v>0</v>
      </c>
      <c r="AE1119">
        <v>28</v>
      </c>
      <c r="AK1119">
        <v>1</v>
      </c>
      <c r="AL1119">
        <v>0</v>
      </c>
    </row>
    <row r="1120" spans="1:38" x14ac:dyDescent="0.3">
      <c r="A1120">
        <v>337584</v>
      </c>
      <c r="B1120" t="s">
        <v>50</v>
      </c>
      <c r="C1120" t="s">
        <v>633</v>
      </c>
      <c r="D1120">
        <v>2023</v>
      </c>
      <c r="E1120" t="s">
        <v>67</v>
      </c>
      <c r="F1120" t="s">
        <v>68</v>
      </c>
      <c r="S1120">
        <v>7</v>
      </c>
      <c r="T1120">
        <v>0</v>
      </c>
      <c r="U1120">
        <v>1</v>
      </c>
      <c r="V1120">
        <v>12</v>
      </c>
      <c r="W1120">
        <v>22</v>
      </c>
      <c r="X1120">
        <v>3</v>
      </c>
      <c r="Y1120">
        <v>2</v>
      </c>
      <c r="Z1120">
        <v>2</v>
      </c>
      <c r="AA1120">
        <v>19</v>
      </c>
      <c r="AB1120">
        <v>19</v>
      </c>
      <c r="AC1120">
        <v>1</v>
      </c>
      <c r="AD1120">
        <v>0</v>
      </c>
      <c r="AE1120">
        <v>19</v>
      </c>
      <c r="AF1120">
        <v>15.5</v>
      </c>
      <c r="AG1120">
        <v>68</v>
      </c>
      <c r="AH1120">
        <v>16</v>
      </c>
      <c r="AI1120">
        <v>2</v>
      </c>
      <c r="AJ1120">
        <v>248</v>
      </c>
    </row>
    <row r="1121" spans="1:38" x14ac:dyDescent="0.3">
      <c r="A1121">
        <v>337587</v>
      </c>
      <c r="B1121" t="s">
        <v>54</v>
      </c>
      <c r="C1121" t="s">
        <v>634</v>
      </c>
      <c r="D1121">
        <v>2019</v>
      </c>
      <c r="E1121" t="s">
        <v>420</v>
      </c>
      <c r="F1121" t="s">
        <v>421</v>
      </c>
      <c r="G1121">
        <v>163</v>
      </c>
      <c r="H1121">
        <v>102</v>
      </c>
      <c r="I1121">
        <v>1099</v>
      </c>
      <c r="J1121">
        <v>0.626</v>
      </c>
      <c r="K1121">
        <v>8</v>
      </c>
      <c r="L1121">
        <v>4</v>
      </c>
      <c r="M1121">
        <v>15</v>
      </c>
      <c r="N1121">
        <v>-9</v>
      </c>
      <c r="O1121">
        <v>0</v>
      </c>
      <c r="AK1121">
        <v>1</v>
      </c>
      <c r="AL1121">
        <v>0</v>
      </c>
    </row>
    <row r="1122" spans="1:38" x14ac:dyDescent="0.3">
      <c r="A1122">
        <v>337587</v>
      </c>
      <c r="B1122" t="s">
        <v>54</v>
      </c>
      <c r="C1122" t="s">
        <v>634</v>
      </c>
      <c r="D1122">
        <v>2020</v>
      </c>
      <c r="E1122" t="s">
        <v>420</v>
      </c>
      <c r="F1122" t="s">
        <v>421</v>
      </c>
      <c r="G1122">
        <v>136</v>
      </c>
      <c r="H1122">
        <v>88</v>
      </c>
      <c r="I1122">
        <v>916</v>
      </c>
      <c r="J1122">
        <v>0.64700000000000002</v>
      </c>
      <c r="K1122">
        <v>7</v>
      </c>
      <c r="L1122">
        <v>2</v>
      </c>
      <c r="M1122">
        <v>12</v>
      </c>
      <c r="N1122">
        <v>-64</v>
      </c>
      <c r="O1122">
        <v>0</v>
      </c>
      <c r="AK1122">
        <v>2</v>
      </c>
      <c r="AL1122">
        <v>1</v>
      </c>
    </row>
    <row r="1123" spans="1:38" x14ac:dyDescent="0.3">
      <c r="A1123">
        <v>337587</v>
      </c>
      <c r="B1123" t="s">
        <v>54</v>
      </c>
      <c r="C1123" t="s">
        <v>634</v>
      </c>
      <c r="D1123">
        <v>2021</v>
      </c>
      <c r="E1123" t="s">
        <v>420</v>
      </c>
      <c r="F1123" t="s">
        <v>421</v>
      </c>
      <c r="G1123">
        <v>440</v>
      </c>
      <c r="H1123">
        <v>315</v>
      </c>
      <c r="I1123">
        <v>3712</v>
      </c>
      <c r="J1123">
        <v>0.71599999999999997</v>
      </c>
      <c r="K1123">
        <v>28</v>
      </c>
      <c r="L1123">
        <v>11</v>
      </c>
      <c r="M1123">
        <v>25</v>
      </c>
      <c r="N1123">
        <v>-120</v>
      </c>
      <c r="O1123">
        <v>1</v>
      </c>
      <c r="S1123">
        <v>0</v>
      </c>
      <c r="T1123">
        <v>0</v>
      </c>
      <c r="U1123">
        <v>0</v>
      </c>
      <c r="V1123">
        <v>1</v>
      </c>
      <c r="W1123">
        <v>1</v>
      </c>
      <c r="X1123">
        <v>0</v>
      </c>
      <c r="Z1123">
        <v>0</v>
      </c>
      <c r="AK1123">
        <v>1</v>
      </c>
      <c r="AL1123">
        <v>1</v>
      </c>
    </row>
    <row r="1124" spans="1:38" x14ac:dyDescent="0.3">
      <c r="A1124">
        <v>337587</v>
      </c>
      <c r="B1124" t="s">
        <v>54</v>
      </c>
      <c r="C1124" t="s">
        <v>634</v>
      </c>
      <c r="D1124">
        <v>2022</v>
      </c>
      <c r="E1124" t="s">
        <v>420</v>
      </c>
      <c r="F1124" t="s">
        <v>421</v>
      </c>
      <c r="G1124">
        <v>497</v>
      </c>
      <c r="H1124">
        <v>319</v>
      </c>
      <c r="I1124">
        <v>3481</v>
      </c>
      <c r="J1124">
        <v>0.64200000000000002</v>
      </c>
      <c r="K1124">
        <v>22</v>
      </c>
      <c r="L1124">
        <v>13</v>
      </c>
      <c r="M1124">
        <v>43</v>
      </c>
      <c r="N1124">
        <v>-81</v>
      </c>
      <c r="O1124">
        <v>1</v>
      </c>
      <c r="AK1124">
        <v>3</v>
      </c>
      <c r="AL1124">
        <v>1</v>
      </c>
    </row>
    <row r="1125" spans="1:38" x14ac:dyDescent="0.3">
      <c r="A1125">
        <v>337857</v>
      </c>
      <c r="B1125" t="s">
        <v>100</v>
      </c>
      <c r="C1125" t="s">
        <v>635</v>
      </c>
      <c r="D1125">
        <v>2023</v>
      </c>
      <c r="E1125" t="s">
        <v>220</v>
      </c>
      <c r="F1125" t="s">
        <v>221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Z1125">
        <v>0</v>
      </c>
    </row>
    <row r="1126" spans="1:38" x14ac:dyDescent="0.3">
      <c r="A1126">
        <v>337963</v>
      </c>
      <c r="B1126" t="s">
        <v>42</v>
      </c>
      <c r="C1126" t="s">
        <v>636</v>
      </c>
      <c r="D1126">
        <v>2019</v>
      </c>
      <c r="E1126" t="s">
        <v>590</v>
      </c>
      <c r="F1126" t="s">
        <v>591</v>
      </c>
      <c r="S1126">
        <v>1</v>
      </c>
      <c r="T1126">
        <v>2</v>
      </c>
      <c r="U1126">
        <v>2</v>
      </c>
      <c r="V1126">
        <v>14</v>
      </c>
      <c r="W1126">
        <v>16</v>
      </c>
      <c r="X1126">
        <v>4</v>
      </c>
      <c r="Z1126">
        <v>0</v>
      </c>
    </row>
    <row r="1127" spans="1:38" x14ac:dyDescent="0.3">
      <c r="A1127">
        <v>337963</v>
      </c>
      <c r="B1127" t="s">
        <v>42</v>
      </c>
      <c r="C1127" t="s">
        <v>636</v>
      </c>
      <c r="D1127">
        <v>2020</v>
      </c>
      <c r="E1127" t="s">
        <v>590</v>
      </c>
      <c r="F1127" t="s">
        <v>591</v>
      </c>
      <c r="S1127">
        <v>0</v>
      </c>
      <c r="T1127">
        <v>0</v>
      </c>
      <c r="U1127">
        <v>0</v>
      </c>
      <c r="V1127">
        <v>7</v>
      </c>
      <c r="W1127">
        <v>9</v>
      </c>
      <c r="X1127">
        <v>0</v>
      </c>
      <c r="Z1127">
        <v>0</v>
      </c>
    </row>
    <row r="1128" spans="1:38" x14ac:dyDescent="0.3">
      <c r="A1128">
        <v>337963</v>
      </c>
      <c r="B1128" t="s">
        <v>42</v>
      </c>
      <c r="C1128" t="s">
        <v>636</v>
      </c>
      <c r="D1128">
        <v>2021</v>
      </c>
      <c r="E1128" t="s">
        <v>590</v>
      </c>
      <c r="F1128" t="s">
        <v>591</v>
      </c>
      <c r="S1128">
        <v>3</v>
      </c>
      <c r="T1128">
        <v>1</v>
      </c>
      <c r="U1128">
        <v>0</v>
      </c>
      <c r="V1128">
        <v>42</v>
      </c>
      <c r="W1128">
        <v>66</v>
      </c>
      <c r="X1128">
        <v>2</v>
      </c>
      <c r="Y1128">
        <v>3</v>
      </c>
      <c r="Z1128">
        <v>0</v>
      </c>
      <c r="AK1128">
        <v>0</v>
      </c>
      <c r="AL1128">
        <v>0</v>
      </c>
    </row>
    <row r="1129" spans="1:38" x14ac:dyDescent="0.3">
      <c r="A1129">
        <v>337963</v>
      </c>
      <c r="B1129" t="s">
        <v>42</v>
      </c>
      <c r="C1129" t="s">
        <v>636</v>
      </c>
      <c r="D1129">
        <v>2022</v>
      </c>
      <c r="E1129" t="s">
        <v>220</v>
      </c>
      <c r="F1129" t="s">
        <v>221</v>
      </c>
      <c r="S1129">
        <v>2</v>
      </c>
      <c r="T1129">
        <v>0</v>
      </c>
      <c r="U1129">
        <v>0</v>
      </c>
      <c r="V1129">
        <v>49</v>
      </c>
      <c r="W1129">
        <v>66</v>
      </c>
      <c r="X1129">
        <v>5</v>
      </c>
      <c r="Z1129">
        <v>0</v>
      </c>
    </row>
    <row r="1130" spans="1:38" x14ac:dyDescent="0.3">
      <c r="A1130">
        <v>337963</v>
      </c>
      <c r="B1130" t="s">
        <v>42</v>
      </c>
      <c r="C1130" t="s">
        <v>636</v>
      </c>
      <c r="D1130">
        <v>2023</v>
      </c>
      <c r="E1130" t="s">
        <v>220</v>
      </c>
      <c r="F1130" t="s">
        <v>221</v>
      </c>
      <c r="S1130">
        <v>4</v>
      </c>
      <c r="T1130">
        <v>0</v>
      </c>
      <c r="U1130">
        <v>0</v>
      </c>
      <c r="V1130">
        <v>39</v>
      </c>
      <c r="W1130">
        <v>52</v>
      </c>
      <c r="X1130">
        <v>2</v>
      </c>
      <c r="Z1130">
        <v>0</v>
      </c>
    </row>
    <row r="1131" spans="1:38" x14ac:dyDescent="0.3">
      <c r="A1131">
        <v>338552</v>
      </c>
      <c r="B1131" t="s">
        <v>42</v>
      </c>
      <c r="C1131" t="s">
        <v>637</v>
      </c>
      <c r="D1131">
        <v>2021</v>
      </c>
      <c r="E1131" t="s">
        <v>479</v>
      </c>
      <c r="F1131" t="s">
        <v>480</v>
      </c>
      <c r="S1131">
        <v>2</v>
      </c>
      <c r="T1131">
        <v>0</v>
      </c>
      <c r="U1131">
        <v>0</v>
      </c>
      <c r="V1131">
        <v>8</v>
      </c>
      <c r="W1131">
        <v>14</v>
      </c>
      <c r="X1131">
        <v>1</v>
      </c>
      <c r="Y1131">
        <v>1</v>
      </c>
      <c r="Z1131">
        <v>0</v>
      </c>
    </row>
    <row r="1132" spans="1:38" x14ac:dyDescent="0.3">
      <c r="A1132">
        <v>338552</v>
      </c>
      <c r="B1132" t="s">
        <v>42</v>
      </c>
      <c r="C1132" t="s">
        <v>637</v>
      </c>
      <c r="D1132">
        <v>2022</v>
      </c>
      <c r="E1132" t="s">
        <v>479</v>
      </c>
      <c r="F1132" t="s">
        <v>480</v>
      </c>
      <c r="S1132">
        <v>4</v>
      </c>
      <c r="T1132">
        <v>0</v>
      </c>
      <c r="U1132">
        <v>0</v>
      </c>
      <c r="V1132">
        <v>15</v>
      </c>
      <c r="W1132">
        <v>19</v>
      </c>
      <c r="X1132">
        <v>0.5</v>
      </c>
      <c r="Y1132">
        <v>2</v>
      </c>
      <c r="Z1132">
        <v>0</v>
      </c>
    </row>
    <row r="1133" spans="1:38" x14ac:dyDescent="0.3">
      <c r="A1133">
        <v>338552</v>
      </c>
      <c r="B1133" t="s">
        <v>42</v>
      </c>
      <c r="C1133" t="s">
        <v>637</v>
      </c>
      <c r="D1133">
        <v>2023</v>
      </c>
      <c r="E1133" t="s">
        <v>529</v>
      </c>
      <c r="F1133" t="s">
        <v>530</v>
      </c>
      <c r="S1133">
        <v>8</v>
      </c>
      <c r="T1133">
        <v>0</v>
      </c>
      <c r="U1133">
        <v>0</v>
      </c>
      <c r="V1133">
        <v>28</v>
      </c>
      <c r="W1133">
        <v>61</v>
      </c>
      <c r="X1133">
        <v>2.5</v>
      </c>
      <c r="Y1133">
        <v>3</v>
      </c>
      <c r="Z1133">
        <v>0</v>
      </c>
    </row>
    <row r="1134" spans="1:38" x14ac:dyDescent="0.3">
      <c r="A1134">
        <v>338968</v>
      </c>
      <c r="B1134" t="s">
        <v>50</v>
      </c>
      <c r="C1134" t="s">
        <v>638</v>
      </c>
      <c r="D1134">
        <v>2022</v>
      </c>
      <c r="E1134" t="s">
        <v>639</v>
      </c>
      <c r="F1134" t="s">
        <v>640</v>
      </c>
      <c r="Y1134">
        <v>1</v>
      </c>
    </row>
    <row r="1135" spans="1:38" x14ac:dyDescent="0.3">
      <c r="A1135">
        <v>338968</v>
      </c>
      <c r="B1135" t="s">
        <v>50</v>
      </c>
      <c r="C1135" t="s">
        <v>638</v>
      </c>
      <c r="D1135">
        <v>2023</v>
      </c>
      <c r="E1135" t="s">
        <v>641</v>
      </c>
      <c r="F1135" t="s">
        <v>642</v>
      </c>
      <c r="S1135">
        <v>0</v>
      </c>
      <c r="T1135">
        <v>0</v>
      </c>
      <c r="U1135">
        <v>0</v>
      </c>
      <c r="V1135">
        <v>5</v>
      </c>
      <c r="W1135">
        <v>6</v>
      </c>
      <c r="X1135">
        <v>0</v>
      </c>
      <c r="Y1135">
        <v>3</v>
      </c>
      <c r="Z1135">
        <v>0</v>
      </c>
      <c r="AK1135">
        <v>0</v>
      </c>
      <c r="AL1135">
        <v>0</v>
      </c>
    </row>
    <row r="1136" spans="1:38" x14ac:dyDescent="0.3">
      <c r="A1136">
        <v>338968</v>
      </c>
      <c r="B1136" t="s">
        <v>50</v>
      </c>
      <c r="C1136" t="s">
        <v>638</v>
      </c>
      <c r="D1136">
        <v>2024</v>
      </c>
      <c r="E1136" t="s">
        <v>641</v>
      </c>
      <c r="F1136" t="s">
        <v>642</v>
      </c>
      <c r="Y1136">
        <v>1</v>
      </c>
    </row>
    <row r="1137" spans="1:38" x14ac:dyDescent="0.3">
      <c r="A1137">
        <v>339245</v>
      </c>
      <c r="B1137" t="s">
        <v>84</v>
      </c>
      <c r="C1137" t="s">
        <v>643</v>
      </c>
      <c r="D1137">
        <v>2019</v>
      </c>
      <c r="E1137" t="s">
        <v>259</v>
      </c>
      <c r="F1137" t="s">
        <v>260</v>
      </c>
      <c r="S1137">
        <v>0</v>
      </c>
      <c r="T1137">
        <v>1</v>
      </c>
      <c r="U1137">
        <v>0</v>
      </c>
      <c r="V1137">
        <v>2</v>
      </c>
      <c r="W1137">
        <v>3</v>
      </c>
      <c r="X1137">
        <v>0</v>
      </c>
      <c r="Z1137">
        <v>0</v>
      </c>
    </row>
    <row r="1138" spans="1:38" x14ac:dyDescent="0.3">
      <c r="A1138">
        <v>339245</v>
      </c>
      <c r="B1138" t="s">
        <v>84</v>
      </c>
      <c r="C1138" t="s">
        <v>643</v>
      </c>
      <c r="D1138">
        <v>2020</v>
      </c>
      <c r="E1138" t="s">
        <v>259</v>
      </c>
      <c r="F1138" t="s">
        <v>260</v>
      </c>
      <c r="S1138">
        <v>0</v>
      </c>
      <c r="T1138">
        <v>0</v>
      </c>
      <c r="U1138">
        <v>0</v>
      </c>
      <c r="V1138">
        <v>6</v>
      </c>
      <c r="W1138">
        <v>7</v>
      </c>
      <c r="X1138">
        <v>0</v>
      </c>
      <c r="Z1138">
        <v>0</v>
      </c>
    </row>
    <row r="1139" spans="1:38" x14ac:dyDescent="0.3">
      <c r="A1139">
        <v>339245</v>
      </c>
      <c r="B1139" t="s">
        <v>84</v>
      </c>
      <c r="C1139" t="s">
        <v>643</v>
      </c>
      <c r="D1139">
        <v>2021</v>
      </c>
      <c r="E1139" t="s">
        <v>259</v>
      </c>
      <c r="F1139" t="s">
        <v>260</v>
      </c>
      <c r="S1139">
        <v>2</v>
      </c>
      <c r="T1139">
        <v>3</v>
      </c>
      <c r="U1139">
        <v>1</v>
      </c>
      <c r="V1139">
        <v>38</v>
      </c>
      <c r="W1139">
        <v>69</v>
      </c>
      <c r="X1139">
        <v>6.5</v>
      </c>
      <c r="Y1139">
        <v>1</v>
      </c>
      <c r="Z1139">
        <v>0</v>
      </c>
    </row>
    <row r="1140" spans="1:38" x14ac:dyDescent="0.3">
      <c r="A1140">
        <v>339245</v>
      </c>
      <c r="B1140" t="s">
        <v>84</v>
      </c>
      <c r="C1140" t="s">
        <v>643</v>
      </c>
      <c r="D1140">
        <v>2022</v>
      </c>
      <c r="E1140" t="s">
        <v>259</v>
      </c>
      <c r="F1140" t="s">
        <v>260</v>
      </c>
      <c r="S1140">
        <v>7</v>
      </c>
      <c r="T1140">
        <v>3</v>
      </c>
      <c r="U1140">
        <v>3</v>
      </c>
      <c r="V1140">
        <v>29</v>
      </c>
      <c r="W1140">
        <v>55</v>
      </c>
      <c r="X1140">
        <v>5.5</v>
      </c>
      <c r="Z1140">
        <v>0</v>
      </c>
    </row>
    <row r="1141" spans="1:38" x14ac:dyDescent="0.3">
      <c r="A1141">
        <v>339245</v>
      </c>
      <c r="B1141" t="s">
        <v>84</v>
      </c>
      <c r="C1141" t="s">
        <v>643</v>
      </c>
      <c r="D1141">
        <v>2023</v>
      </c>
      <c r="E1141" t="s">
        <v>259</v>
      </c>
      <c r="F1141" t="s">
        <v>260</v>
      </c>
      <c r="S1141">
        <v>2</v>
      </c>
      <c r="T1141">
        <v>0</v>
      </c>
      <c r="U1141">
        <v>7.5</v>
      </c>
      <c r="V1141">
        <v>34</v>
      </c>
      <c r="W1141">
        <v>67</v>
      </c>
      <c r="X1141">
        <v>10.5</v>
      </c>
      <c r="Y1141">
        <v>1</v>
      </c>
      <c r="Z1141">
        <v>0</v>
      </c>
      <c r="AK1141">
        <v>0</v>
      </c>
      <c r="AL1141">
        <v>0</v>
      </c>
    </row>
    <row r="1142" spans="1:38" x14ac:dyDescent="0.3">
      <c r="A1142">
        <v>339330</v>
      </c>
      <c r="B1142" t="s">
        <v>69</v>
      </c>
      <c r="C1142" t="s">
        <v>644</v>
      </c>
      <c r="D1142">
        <v>2019</v>
      </c>
      <c r="E1142" t="s">
        <v>145</v>
      </c>
      <c r="F1142" t="s">
        <v>146</v>
      </c>
      <c r="S1142">
        <v>0</v>
      </c>
      <c r="T1142">
        <v>0</v>
      </c>
      <c r="U1142">
        <v>0</v>
      </c>
      <c r="V1142">
        <v>1</v>
      </c>
      <c r="W1142">
        <v>4</v>
      </c>
      <c r="X1142">
        <v>0</v>
      </c>
      <c r="Z1142">
        <v>0</v>
      </c>
    </row>
    <row r="1143" spans="1:38" x14ac:dyDescent="0.3">
      <c r="A1143">
        <v>339330</v>
      </c>
      <c r="B1143" t="s">
        <v>69</v>
      </c>
      <c r="C1143" t="s">
        <v>644</v>
      </c>
      <c r="D1143">
        <v>2020</v>
      </c>
      <c r="E1143" t="s">
        <v>145</v>
      </c>
      <c r="F1143" t="s">
        <v>146</v>
      </c>
      <c r="S1143">
        <v>0</v>
      </c>
      <c r="T1143">
        <v>1</v>
      </c>
      <c r="U1143">
        <v>2.5</v>
      </c>
      <c r="V1143">
        <v>12</v>
      </c>
      <c r="W1143">
        <v>27</v>
      </c>
      <c r="X1143">
        <v>3</v>
      </c>
      <c r="Y1143">
        <v>1</v>
      </c>
      <c r="Z1143">
        <v>0</v>
      </c>
    </row>
    <row r="1144" spans="1:38" x14ac:dyDescent="0.3">
      <c r="A1144">
        <v>339330</v>
      </c>
      <c r="B1144" t="s">
        <v>69</v>
      </c>
      <c r="C1144" t="s">
        <v>644</v>
      </c>
      <c r="D1144">
        <v>2021</v>
      </c>
      <c r="E1144" t="s">
        <v>145</v>
      </c>
      <c r="F1144" t="s">
        <v>146</v>
      </c>
      <c r="S1144">
        <v>1</v>
      </c>
      <c r="T1144">
        <v>3</v>
      </c>
      <c r="U1144">
        <v>1</v>
      </c>
      <c r="V1144">
        <v>7</v>
      </c>
      <c r="W1144">
        <v>27</v>
      </c>
      <c r="X1144">
        <v>4</v>
      </c>
      <c r="Z1144">
        <v>0</v>
      </c>
    </row>
    <row r="1145" spans="1:38" x14ac:dyDescent="0.3">
      <c r="A1145">
        <v>339330</v>
      </c>
      <c r="B1145" t="s">
        <v>69</v>
      </c>
      <c r="C1145" t="s">
        <v>644</v>
      </c>
      <c r="D1145">
        <v>2022</v>
      </c>
      <c r="E1145" t="s">
        <v>145</v>
      </c>
      <c r="F1145" t="s">
        <v>146</v>
      </c>
      <c r="S1145">
        <v>0</v>
      </c>
      <c r="T1145">
        <v>4</v>
      </c>
      <c r="U1145">
        <v>2</v>
      </c>
      <c r="V1145">
        <v>8</v>
      </c>
      <c r="W1145">
        <v>19</v>
      </c>
      <c r="X1145">
        <v>4</v>
      </c>
      <c r="Z1145">
        <v>0</v>
      </c>
    </row>
    <row r="1146" spans="1:38" x14ac:dyDescent="0.3">
      <c r="A1146">
        <v>339330</v>
      </c>
      <c r="B1146" t="s">
        <v>69</v>
      </c>
      <c r="C1146" t="s">
        <v>644</v>
      </c>
      <c r="D1146">
        <v>2023</v>
      </c>
      <c r="E1146" t="s">
        <v>145</v>
      </c>
      <c r="F1146" t="s">
        <v>146</v>
      </c>
      <c r="S1146">
        <v>1</v>
      </c>
      <c r="T1146">
        <v>6</v>
      </c>
      <c r="U1146">
        <v>1</v>
      </c>
      <c r="V1146">
        <v>8</v>
      </c>
      <c r="W1146">
        <v>16</v>
      </c>
      <c r="X1146">
        <v>2.5</v>
      </c>
      <c r="Z1146">
        <v>0</v>
      </c>
    </row>
    <row r="1147" spans="1:38" x14ac:dyDescent="0.3">
      <c r="A1147">
        <v>339330</v>
      </c>
      <c r="B1147" t="s">
        <v>69</v>
      </c>
      <c r="C1147" t="s">
        <v>644</v>
      </c>
      <c r="D1147">
        <v>2024</v>
      </c>
      <c r="E1147" t="s">
        <v>145</v>
      </c>
      <c r="F1147" t="s">
        <v>146</v>
      </c>
      <c r="S1147">
        <v>1</v>
      </c>
      <c r="T1147">
        <v>5</v>
      </c>
      <c r="U1147">
        <v>3</v>
      </c>
      <c r="V1147">
        <v>16</v>
      </c>
      <c r="W1147">
        <v>43</v>
      </c>
      <c r="X1147">
        <v>5</v>
      </c>
      <c r="Z1147">
        <v>0</v>
      </c>
    </row>
    <row r="1148" spans="1:38" x14ac:dyDescent="0.3">
      <c r="A1148">
        <v>339883</v>
      </c>
      <c r="B1148" t="s">
        <v>142</v>
      </c>
      <c r="C1148" t="s">
        <v>645</v>
      </c>
      <c r="D1148">
        <v>2019</v>
      </c>
      <c r="E1148" t="s">
        <v>44</v>
      </c>
      <c r="F1148" t="s">
        <v>45</v>
      </c>
      <c r="P1148">
        <v>1</v>
      </c>
      <c r="Q1148">
        <v>0</v>
      </c>
      <c r="R1148">
        <v>23</v>
      </c>
    </row>
    <row r="1149" spans="1:38" x14ac:dyDescent="0.3">
      <c r="A1149">
        <v>339883</v>
      </c>
      <c r="B1149" t="s">
        <v>142</v>
      </c>
      <c r="C1149" t="s">
        <v>645</v>
      </c>
      <c r="D1149">
        <v>2020</v>
      </c>
      <c r="E1149" t="s">
        <v>44</v>
      </c>
      <c r="F1149" t="s">
        <v>45</v>
      </c>
      <c r="P1149">
        <v>37</v>
      </c>
      <c r="Q1149">
        <v>12</v>
      </c>
      <c r="R1149">
        <v>429</v>
      </c>
      <c r="AK1149">
        <v>1</v>
      </c>
      <c r="AL1149">
        <v>1</v>
      </c>
    </row>
    <row r="1150" spans="1:38" x14ac:dyDescent="0.3">
      <c r="A1150">
        <v>339883</v>
      </c>
      <c r="B1150" t="s">
        <v>142</v>
      </c>
      <c r="C1150" t="s">
        <v>645</v>
      </c>
      <c r="D1150">
        <v>2021</v>
      </c>
      <c r="E1150" t="s">
        <v>44</v>
      </c>
      <c r="F1150" t="s">
        <v>45</v>
      </c>
      <c r="P1150">
        <v>18</v>
      </c>
      <c r="Q1150">
        <v>3</v>
      </c>
      <c r="R1150">
        <v>191</v>
      </c>
    </row>
    <row r="1151" spans="1:38" x14ac:dyDescent="0.3">
      <c r="A1151">
        <v>339883</v>
      </c>
      <c r="B1151" t="s">
        <v>142</v>
      </c>
      <c r="C1151" t="s">
        <v>645</v>
      </c>
      <c r="D1151">
        <v>2022</v>
      </c>
      <c r="E1151" t="s">
        <v>44</v>
      </c>
      <c r="F1151" t="s">
        <v>45</v>
      </c>
      <c r="P1151">
        <v>22</v>
      </c>
      <c r="Q1151">
        <v>6</v>
      </c>
      <c r="R1151">
        <v>320</v>
      </c>
    </row>
    <row r="1152" spans="1:38" x14ac:dyDescent="0.3">
      <c r="A1152">
        <v>339883</v>
      </c>
      <c r="B1152" t="s">
        <v>142</v>
      </c>
      <c r="C1152" t="s">
        <v>645</v>
      </c>
      <c r="D1152">
        <v>2023</v>
      </c>
      <c r="E1152" t="s">
        <v>44</v>
      </c>
      <c r="F1152" t="s">
        <v>45</v>
      </c>
      <c r="P1152">
        <v>34</v>
      </c>
      <c r="Q1152">
        <v>3</v>
      </c>
      <c r="R1152">
        <v>422</v>
      </c>
      <c r="S1152">
        <v>0</v>
      </c>
      <c r="T1152">
        <v>0</v>
      </c>
      <c r="U1152">
        <v>0</v>
      </c>
      <c r="V1152">
        <v>1</v>
      </c>
      <c r="W1152">
        <v>1</v>
      </c>
      <c r="X1152">
        <v>0</v>
      </c>
      <c r="Z1152">
        <v>0</v>
      </c>
      <c r="AK1152">
        <v>1</v>
      </c>
      <c r="AL1152">
        <v>1</v>
      </c>
    </row>
    <row r="1153" spans="1:38" x14ac:dyDescent="0.3">
      <c r="A1153">
        <v>340182</v>
      </c>
      <c r="B1153" t="s">
        <v>100</v>
      </c>
      <c r="C1153" t="s">
        <v>646</v>
      </c>
      <c r="D1153">
        <v>2023</v>
      </c>
      <c r="E1153" t="s">
        <v>71</v>
      </c>
      <c r="F1153" t="s">
        <v>72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0</v>
      </c>
      <c r="Z1153">
        <v>0</v>
      </c>
    </row>
    <row r="1154" spans="1:38" x14ac:dyDescent="0.3">
      <c r="A1154">
        <v>340221</v>
      </c>
      <c r="B1154" t="s">
        <v>50</v>
      </c>
      <c r="C1154" t="s">
        <v>647</v>
      </c>
      <c r="D1154">
        <v>2019</v>
      </c>
      <c r="E1154" t="s">
        <v>92</v>
      </c>
      <c r="F1154" t="s">
        <v>93</v>
      </c>
      <c r="S1154">
        <v>0</v>
      </c>
      <c r="T1154">
        <v>0</v>
      </c>
      <c r="U1154">
        <v>0</v>
      </c>
      <c r="V1154">
        <v>4</v>
      </c>
      <c r="W1154">
        <v>5</v>
      </c>
      <c r="X1154">
        <v>0</v>
      </c>
      <c r="Z1154">
        <v>0</v>
      </c>
    </row>
    <row r="1155" spans="1:38" x14ac:dyDescent="0.3">
      <c r="A1155">
        <v>340221</v>
      </c>
      <c r="B1155" t="s">
        <v>50</v>
      </c>
      <c r="C1155" t="s">
        <v>647</v>
      </c>
      <c r="D1155">
        <v>2020</v>
      </c>
      <c r="E1155" t="s">
        <v>92</v>
      </c>
      <c r="F1155" t="s">
        <v>93</v>
      </c>
      <c r="S1155">
        <v>7</v>
      </c>
      <c r="T1155">
        <v>0</v>
      </c>
      <c r="U1155">
        <v>1</v>
      </c>
      <c r="V1155">
        <v>22</v>
      </c>
      <c r="W1155">
        <v>27</v>
      </c>
      <c r="X1155">
        <v>1</v>
      </c>
      <c r="Y1155">
        <v>3</v>
      </c>
      <c r="Z1155">
        <v>0</v>
      </c>
    </row>
    <row r="1156" spans="1:38" x14ac:dyDescent="0.3">
      <c r="A1156">
        <v>340221</v>
      </c>
      <c r="B1156" t="s">
        <v>50</v>
      </c>
      <c r="C1156" t="s">
        <v>647</v>
      </c>
      <c r="D1156">
        <v>2021</v>
      </c>
      <c r="E1156" t="s">
        <v>92</v>
      </c>
      <c r="F1156" t="s">
        <v>93</v>
      </c>
      <c r="S1156">
        <v>8</v>
      </c>
      <c r="T1156">
        <v>0</v>
      </c>
      <c r="U1156">
        <v>0.5</v>
      </c>
      <c r="V1156">
        <v>21</v>
      </c>
      <c r="W1156">
        <v>31</v>
      </c>
      <c r="X1156">
        <v>2.5</v>
      </c>
      <c r="Z1156">
        <v>0</v>
      </c>
    </row>
    <row r="1157" spans="1:38" x14ac:dyDescent="0.3">
      <c r="A1157">
        <v>340221</v>
      </c>
      <c r="B1157" t="s">
        <v>50</v>
      </c>
      <c r="C1157" t="s">
        <v>647</v>
      </c>
      <c r="D1157">
        <v>2022</v>
      </c>
      <c r="E1157" t="s">
        <v>105</v>
      </c>
      <c r="F1157" t="s">
        <v>106</v>
      </c>
      <c r="S1157">
        <v>4</v>
      </c>
      <c r="T1157">
        <v>1</v>
      </c>
      <c r="U1157">
        <v>0</v>
      </c>
      <c r="V1157">
        <v>26</v>
      </c>
      <c r="W1157">
        <v>42</v>
      </c>
      <c r="X1157">
        <v>1.5</v>
      </c>
      <c r="Z1157">
        <v>0</v>
      </c>
    </row>
    <row r="1158" spans="1:38" x14ac:dyDescent="0.3">
      <c r="A1158">
        <v>340242</v>
      </c>
      <c r="B1158" t="s">
        <v>46</v>
      </c>
      <c r="C1158" t="s">
        <v>648</v>
      </c>
      <c r="D1158">
        <v>2020</v>
      </c>
      <c r="E1158" t="s">
        <v>289</v>
      </c>
      <c r="F1158" t="s">
        <v>290</v>
      </c>
      <c r="M1158">
        <v>1</v>
      </c>
      <c r="N1158">
        <v>58</v>
      </c>
      <c r="O1158">
        <v>0</v>
      </c>
      <c r="P1158">
        <v>8</v>
      </c>
      <c r="Q1158">
        <v>0</v>
      </c>
      <c r="R1158">
        <v>248</v>
      </c>
      <c r="S1158">
        <v>0</v>
      </c>
      <c r="T1158">
        <v>0</v>
      </c>
      <c r="U1158">
        <v>0</v>
      </c>
      <c r="V1158">
        <v>1</v>
      </c>
      <c r="W1158">
        <v>3</v>
      </c>
      <c r="X1158">
        <v>0</v>
      </c>
      <c r="Z1158">
        <v>0</v>
      </c>
    </row>
    <row r="1159" spans="1:38" x14ac:dyDescent="0.3">
      <c r="A1159">
        <v>340242</v>
      </c>
      <c r="B1159" t="s">
        <v>46</v>
      </c>
      <c r="C1159" t="s">
        <v>648</v>
      </c>
      <c r="D1159">
        <v>2021</v>
      </c>
      <c r="E1159" t="s">
        <v>289</v>
      </c>
      <c r="F1159" t="s">
        <v>290</v>
      </c>
      <c r="M1159">
        <v>12</v>
      </c>
      <c r="N1159">
        <v>23</v>
      </c>
      <c r="O1159">
        <v>1</v>
      </c>
      <c r="P1159">
        <v>44</v>
      </c>
      <c r="Q1159">
        <v>12</v>
      </c>
      <c r="R1159">
        <v>878</v>
      </c>
      <c r="AK1159">
        <v>2</v>
      </c>
      <c r="AL1159">
        <v>1</v>
      </c>
    </row>
    <row r="1160" spans="1:38" x14ac:dyDescent="0.3">
      <c r="A1160">
        <v>340242</v>
      </c>
      <c r="B1160" t="s">
        <v>46</v>
      </c>
      <c r="C1160" t="s">
        <v>648</v>
      </c>
      <c r="D1160">
        <v>2023</v>
      </c>
      <c r="E1160" t="s">
        <v>303</v>
      </c>
      <c r="F1160" t="s">
        <v>304</v>
      </c>
      <c r="P1160">
        <v>1</v>
      </c>
      <c r="Q1160">
        <v>0</v>
      </c>
      <c r="R1160">
        <v>14</v>
      </c>
    </row>
    <row r="1161" spans="1:38" x14ac:dyDescent="0.3">
      <c r="A1161">
        <v>340242</v>
      </c>
      <c r="B1161" t="s">
        <v>46</v>
      </c>
      <c r="C1161" t="s">
        <v>648</v>
      </c>
      <c r="D1161">
        <v>2024</v>
      </c>
      <c r="E1161" t="s">
        <v>197</v>
      </c>
      <c r="F1161" t="s">
        <v>198</v>
      </c>
      <c r="M1161">
        <v>2</v>
      </c>
      <c r="N1161">
        <v>6</v>
      </c>
      <c r="O1161">
        <v>0</v>
      </c>
      <c r="P1161">
        <v>34</v>
      </c>
      <c r="Q1161">
        <v>5</v>
      </c>
      <c r="R1161">
        <v>455</v>
      </c>
      <c r="S1161">
        <v>0</v>
      </c>
      <c r="T1161">
        <v>0</v>
      </c>
      <c r="U1161">
        <v>0</v>
      </c>
      <c r="V1161">
        <v>1</v>
      </c>
      <c r="W1161">
        <v>1</v>
      </c>
      <c r="X1161">
        <v>0</v>
      </c>
      <c r="Z1161">
        <v>0</v>
      </c>
    </row>
    <row r="1162" spans="1:38" x14ac:dyDescent="0.3">
      <c r="A1162">
        <v>341036</v>
      </c>
      <c r="B1162" t="s">
        <v>84</v>
      </c>
      <c r="C1162" t="s">
        <v>649</v>
      </c>
      <c r="D1162">
        <v>2020</v>
      </c>
      <c r="E1162" t="s">
        <v>323</v>
      </c>
      <c r="F1162" t="s">
        <v>324</v>
      </c>
      <c r="S1162">
        <v>2</v>
      </c>
      <c r="T1162">
        <v>0</v>
      </c>
      <c r="U1162">
        <v>0</v>
      </c>
      <c r="V1162">
        <v>2</v>
      </c>
      <c r="W1162">
        <v>4</v>
      </c>
      <c r="X1162">
        <v>1</v>
      </c>
      <c r="Z1162">
        <v>0</v>
      </c>
    </row>
    <row r="1163" spans="1:38" x14ac:dyDescent="0.3">
      <c r="A1163">
        <v>341036</v>
      </c>
      <c r="B1163" t="s">
        <v>84</v>
      </c>
      <c r="C1163" t="s">
        <v>649</v>
      </c>
      <c r="D1163">
        <v>2021</v>
      </c>
      <c r="E1163" t="s">
        <v>323</v>
      </c>
      <c r="F1163" t="s">
        <v>324</v>
      </c>
      <c r="S1163">
        <v>1</v>
      </c>
      <c r="T1163">
        <v>1</v>
      </c>
      <c r="U1163">
        <v>0</v>
      </c>
      <c r="V1163">
        <v>15</v>
      </c>
      <c r="W1163">
        <v>24</v>
      </c>
      <c r="X1163">
        <v>1</v>
      </c>
      <c r="Z1163">
        <v>0</v>
      </c>
      <c r="AK1163">
        <v>0</v>
      </c>
      <c r="AL1163">
        <v>0</v>
      </c>
    </row>
    <row r="1164" spans="1:38" x14ac:dyDescent="0.3">
      <c r="A1164">
        <v>341036</v>
      </c>
      <c r="B1164" t="s">
        <v>84</v>
      </c>
      <c r="C1164" t="s">
        <v>649</v>
      </c>
      <c r="D1164">
        <v>2022</v>
      </c>
      <c r="E1164" t="s">
        <v>323</v>
      </c>
      <c r="F1164" t="s">
        <v>324</v>
      </c>
      <c r="S1164">
        <v>0</v>
      </c>
      <c r="T1164">
        <v>1</v>
      </c>
      <c r="U1164">
        <v>0</v>
      </c>
      <c r="V1164">
        <v>25</v>
      </c>
      <c r="W1164">
        <v>34</v>
      </c>
      <c r="X1164">
        <v>1</v>
      </c>
      <c r="Y1164">
        <v>1</v>
      </c>
      <c r="Z1164">
        <v>0</v>
      </c>
    </row>
    <row r="1165" spans="1:38" x14ac:dyDescent="0.3">
      <c r="A1165">
        <v>341036</v>
      </c>
      <c r="B1165" t="s">
        <v>84</v>
      </c>
      <c r="C1165" t="s">
        <v>649</v>
      </c>
      <c r="D1165">
        <v>2023</v>
      </c>
      <c r="E1165" t="s">
        <v>323</v>
      </c>
      <c r="F1165" t="s">
        <v>324</v>
      </c>
      <c r="S1165">
        <v>2</v>
      </c>
      <c r="T1165">
        <v>4</v>
      </c>
      <c r="U1165">
        <v>2</v>
      </c>
      <c r="V1165">
        <v>29</v>
      </c>
      <c r="W1165">
        <v>56</v>
      </c>
      <c r="X1165">
        <v>7</v>
      </c>
      <c r="Z1165">
        <v>0</v>
      </c>
      <c r="AF1165">
        <v>3</v>
      </c>
      <c r="AG1165">
        <v>3</v>
      </c>
      <c r="AH1165">
        <v>1</v>
      </c>
      <c r="AI1165">
        <v>0</v>
      </c>
      <c r="AJ1165">
        <v>3</v>
      </c>
    </row>
    <row r="1166" spans="1:38" x14ac:dyDescent="0.3">
      <c r="A1166">
        <v>341036</v>
      </c>
      <c r="B1166" t="s">
        <v>84</v>
      </c>
      <c r="C1166" t="s">
        <v>649</v>
      </c>
      <c r="D1166">
        <v>2024</v>
      </c>
      <c r="E1166" t="s">
        <v>323</v>
      </c>
      <c r="F1166" t="s">
        <v>324</v>
      </c>
      <c r="S1166">
        <v>4</v>
      </c>
      <c r="T1166">
        <v>4</v>
      </c>
      <c r="U1166">
        <v>1.5</v>
      </c>
      <c r="V1166">
        <v>50</v>
      </c>
      <c r="W1166">
        <v>72</v>
      </c>
      <c r="X1166">
        <v>11</v>
      </c>
      <c r="Y1166">
        <v>2</v>
      </c>
      <c r="Z1166">
        <v>1</v>
      </c>
      <c r="AK1166">
        <v>0</v>
      </c>
      <c r="AL1166">
        <v>0</v>
      </c>
    </row>
    <row r="1167" spans="1:38" x14ac:dyDescent="0.3">
      <c r="A1167">
        <v>341061</v>
      </c>
      <c r="B1167" t="s">
        <v>84</v>
      </c>
      <c r="C1167" t="s">
        <v>650</v>
      </c>
      <c r="D1167">
        <v>2020</v>
      </c>
      <c r="E1167" t="s">
        <v>289</v>
      </c>
      <c r="F1167" t="s">
        <v>290</v>
      </c>
      <c r="S1167">
        <v>0</v>
      </c>
      <c r="T1167">
        <v>0</v>
      </c>
      <c r="U1167">
        <v>0</v>
      </c>
      <c r="V1167">
        <v>21</v>
      </c>
      <c r="W1167">
        <v>42</v>
      </c>
      <c r="X1167">
        <v>2.5</v>
      </c>
      <c r="Z1167">
        <v>0</v>
      </c>
    </row>
    <row r="1168" spans="1:38" x14ac:dyDescent="0.3">
      <c r="A1168">
        <v>341061</v>
      </c>
      <c r="B1168" t="s">
        <v>84</v>
      </c>
      <c r="C1168" t="s">
        <v>650</v>
      </c>
      <c r="D1168">
        <v>2021</v>
      </c>
      <c r="E1168" t="s">
        <v>289</v>
      </c>
      <c r="F1168" t="s">
        <v>290</v>
      </c>
      <c r="S1168">
        <v>4</v>
      </c>
      <c r="T1168">
        <v>1</v>
      </c>
      <c r="U1168">
        <v>2</v>
      </c>
      <c r="V1168">
        <v>49</v>
      </c>
      <c r="W1168">
        <v>89</v>
      </c>
      <c r="X1168">
        <v>7</v>
      </c>
      <c r="Z1168">
        <v>0</v>
      </c>
    </row>
    <row r="1169" spans="1:38" x14ac:dyDescent="0.3">
      <c r="A1169">
        <v>341061</v>
      </c>
      <c r="B1169" t="s">
        <v>84</v>
      </c>
      <c r="C1169" t="s">
        <v>650</v>
      </c>
      <c r="D1169">
        <v>2022</v>
      </c>
      <c r="E1169" t="s">
        <v>289</v>
      </c>
      <c r="F1169" t="s">
        <v>290</v>
      </c>
      <c r="S1169">
        <v>1</v>
      </c>
      <c r="T1169">
        <v>3</v>
      </c>
      <c r="U1169">
        <v>3</v>
      </c>
      <c r="V1169">
        <v>59</v>
      </c>
      <c r="W1169">
        <v>112</v>
      </c>
      <c r="X1169">
        <v>9</v>
      </c>
      <c r="Z1169">
        <v>0</v>
      </c>
      <c r="AK1169">
        <v>0</v>
      </c>
      <c r="AL1169">
        <v>0</v>
      </c>
    </row>
    <row r="1170" spans="1:38" x14ac:dyDescent="0.3">
      <c r="A1170">
        <v>341061</v>
      </c>
      <c r="B1170" t="s">
        <v>84</v>
      </c>
      <c r="C1170" t="s">
        <v>650</v>
      </c>
      <c r="D1170">
        <v>2023</v>
      </c>
      <c r="E1170" t="s">
        <v>289</v>
      </c>
      <c r="F1170" t="s">
        <v>290</v>
      </c>
      <c r="S1170">
        <v>5</v>
      </c>
      <c r="T1170">
        <v>3</v>
      </c>
      <c r="U1170">
        <v>2</v>
      </c>
      <c r="V1170">
        <v>42</v>
      </c>
      <c r="W1170">
        <v>101</v>
      </c>
      <c r="X1170">
        <v>4</v>
      </c>
      <c r="Y1170">
        <v>1</v>
      </c>
      <c r="Z1170">
        <v>0</v>
      </c>
      <c r="AK1170">
        <v>0</v>
      </c>
      <c r="AL1170">
        <v>0</v>
      </c>
    </row>
    <row r="1171" spans="1:38" x14ac:dyDescent="0.3">
      <c r="A1171">
        <v>347705</v>
      </c>
      <c r="B1171" t="s">
        <v>76</v>
      </c>
      <c r="C1171" t="s">
        <v>651</v>
      </c>
      <c r="D1171">
        <v>2020</v>
      </c>
      <c r="E1171" t="s">
        <v>652</v>
      </c>
      <c r="F1171" t="s">
        <v>653</v>
      </c>
      <c r="M1171">
        <v>121</v>
      </c>
      <c r="N1171">
        <v>708</v>
      </c>
      <c r="O1171">
        <v>2</v>
      </c>
      <c r="P1171">
        <v>9</v>
      </c>
      <c r="Q1171">
        <v>1</v>
      </c>
      <c r="R1171">
        <v>97</v>
      </c>
      <c r="S1171">
        <v>0</v>
      </c>
      <c r="T1171">
        <v>0</v>
      </c>
      <c r="U1171">
        <v>0</v>
      </c>
      <c r="V1171">
        <v>2</v>
      </c>
      <c r="W1171">
        <v>2</v>
      </c>
      <c r="X1171">
        <v>0</v>
      </c>
      <c r="Z1171">
        <v>0</v>
      </c>
      <c r="AK1171">
        <v>1</v>
      </c>
      <c r="AL1171">
        <v>1</v>
      </c>
    </row>
    <row r="1172" spans="1:38" x14ac:dyDescent="0.3">
      <c r="A1172">
        <v>347705</v>
      </c>
      <c r="B1172" t="s">
        <v>76</v>
      </c>
      <c r="C1172" t="s">
        <v>651</v>
      </c>
      <c r="D1172">
        <v>2021</v>
      </c>
      <c r="E1172" t="s">
        <v>652</v>
      </c>
      <c r="F1172" t="s">
        <v>653</v>
      </c>
      <c r="G1172">
        <v>16</v>
      </c>
      <c r="H1172">
        <v>10</v>
      </c>
      <c r="I1172">
        <v>189</v>
      </c>
      <c r="J1172">
        <v>0.625</v>
      </c>
      <c r="K1172">
        <v>4</v>
      </c>
      <c r="L1172">
        <v>1</v>
      </c>
      <c r="M1172">
        <v>179</v>
      </c>
      <c r="N1172">
        <v>801</v>
      </c>
      <c r="O1172">
        <v>5</v>
      </c>
      <c r="P1172">
        <v>20</v>
      </c>
      <c r="Q1172">
        <v>0</v>
      </c>
      <c r="R1172">
        <v>155</v>
      </c>
    </row>
    <row r="1173" spans="1:38" x14ac:dyDescent="0.3">
      <c r="A1173">
        <v>347705</v>
      </c>
      <c r="B1173" t="s">
        <v>76</v>
      </c>
      <c r="C1173" t="s">
        <v>651</v>
      </c>
      <c r="D1173">
        <v>2022</v>
      </c>
      <c r="E1173" t="s">
        <v>652</v>
      </c>
      <c r="F1173" t="s">
        <v>653</v>
      </c>
      <c r="G1173">
        <v>14</v>
      </c>
      <c r="H1173">
        <v>7</v>
      </c>
      <c r="I1173">
        <v>179</v>
      </c>
      <c r="J1173">
        <v>0.5</v>
      </c>
      <c r="K1173">
        <v>3</v>
      </c>
      <c r="L1173">
        <v>0</v>
      </c>
      <c r="M1173">
        <v>228</v>
      </c>
      <c r="N1173">
        <v>1382</v>
      </c>
      <c r="O1173">
        <v>9</v>
      </c>
      <c r="P1173">
        <v>19</v>
      </c>
      <c r="Q1173">
        <v>0</v>
      </c>
      <c r="R1173">
        <v>219</v>
      </c>
      <c r="AK1173">
        <v>2</v>
      </c>
      <c r="AL1173">
        <v>1</v>
      </c>
    </row>
    <row r="1174" spans="1:38" x14ac:dyDescent="0.3">
      <c r="A1174">
        <v>347705</v>
      </c>
      <c r="B1174" t="s">
        <v>76</v>
      </c>
      <c r="C1174" t="s">
        <v>651</v>
      </c>
      <c r="D1174">
        <v>2023</v>
      </c>
      <c r="E1174" t="s">
        <v>652</v>
      </c>
      <c r="F1174" t="s">
        <v>653</v>
      </c>
      <c r="G1174">
        <v>16</v>
      </c>
      <c r="H1174">
        <v>2</v>
      </c>
      <c r="I1174">
        <v>18</v>
      </c>
      <c r="J1174">
        <v>0.125</v>
      </c>
      <c r="K1174">
        <v>0</v>
      </c>
      <c r="L1174">
        <v>0</v>
      </c>
      <c r="M1174">
        <v>231</v>
      </c>
      <c r="N1174">
        <v>1131</v>
      </c>
      <c r="O1174">
        <v>10</v>
      </c>
      <c r="P1174">
        <v>27</v>
      </c>
      <c r="Q1174">
        <v>3</v>
      </c>
      <c r="R1174">
        <v>221</v>
      </c>
      <c r="S1174">
        <v>0</v>
      </c>
      <c r="T1174">
        <v>0</v>
      </c>
      <c r="U1174">
        <v>0</v>
      </c>
      <c r="V1174">
        <v>1</v>
      </c>
      <c r="W1174">
        <v>2</v>
      </c>
      <c r="X1174">
        <v>0</v>
      </c>
      <c r="Z1174">
        <v>0</v>
      </c>
      <c r="AK1174">
        <v>3</v>
      </c>
      <c r="AL1174">
        <v>3</v>
      </c>
    </row>
    <row r="1175" spans="1:38" x14ac:dyDescent="0.3">
      <c r="A1175">
        <v>347718</v>
      </c>
      <c r="B1175" t="s">
        <v>50</v>
      </c>
      <c r="C1175" t="s">
        <v>654</v>
      </c>
      <c r="D1175">
        <v>2020</v>
      </c>
      <c r="E1175" t="s">
        <v>652</v>
      </c>
      <c r="F1175" t="s">
        <v>653</v>
      </c>
      <c r="S1175">
        <v>5</v>
      </c>
      <c r="T1175">
        <v>0</v>
      </c>
      <c r="U1175">
        <v>0</v>
      </c>
      <c r="V1175">
        <v>15</v>
      </c>
      <c r="W1175">
        <v>25</v>
      </c>
      <c r="X1175">
        <v>0</v>
      </c>
      <c r="Z1175">
        <v>0</v>
      </c>
    </row>
    <row r="1176" spans="1:38" x14ac:dyDescent="0.3">
      <c r="A1176">
        <v>347718</v>
      </c>
      <c r="B1176" t="s">
        <v>50</v>
      </c>
      <c r="C1176" t="s">
        <v>654</v>
      </c>
      <c r="D1176">
        <v>2021</v>
      </c>
      <c r="E1176" t="s">
        <v>652</v>
      </c>
      <c r="F1176" t="s">
        <v>653</v>
      </c>
      <c r="S1176">
        <v>1</v>
      </c>
      <c r="T1176">
        <v>0</v>
      </c>
      <c r="U1176">
        <v>0</v>
      </c>
      <c r="V1176">
        <v>14</v>
      </c>
      <c r="W1176">
        <v>19</v>
      </c>
      <c r="X1176">
        <v>0</v>
      </c>
      <c r="Y1176">
        <v>2</v>
      </c>
      <c r="Z1176">
        <v>0</v>
      </c>
      <c r="AK1176">
        <v>0</v>
      </c>
      <c r="AL1176">
        <v>0</v>
      </c>
    </row>
    <row r="1177" spans="1:38" x14ac:dyDescent="0.3">
      <c r="A1177">
        <v>347718</v>
      </c>
      <c r="B1177" t="s">
        <v>50</v>
      </c>
      <c r="C1177" t="s">
        <v>654</v>
      </c>
      <c r="D1177">
        <v>2022</v>
      </c>
      <c r="E1177" t="s">
        <v>652</v>
      </c>
      <c r="F1177" t="s">
        <v>653</v>
      </c>
      <c r="S1177">
        <v>3</v>
      </c>
      <c r="T1177">
        <v>0</v>
      </c>
      <c r="U1177">
        <v>0</v>
      </c>
      <c r="V1177">
        <v>17</v>
      </c>
      <c r="W1177">
        <v>25</v>
      </c>
      <c r="X1177">
        <v>2</v>
      </c>
      <c r="Y1177">
        <v>2</v>
      </c>
      <c r="Z1177">
        <v>2</v>
      </c>
    </row>
    <row r="1178" spans="1:38" x14ac:dyDescent="0.3">
      <c r="A1178">
        <v>347731</v>
      </c>
      <c r="B1178" t="s">
        <v>178</v>
      </c>
      <c r="C1178" t="s">
        <v>655</v>
      </c>
      <c r="D1178">
        <v>2021</v>
      </c>
      <c r="E1178" t="s">
        <v>656</v>
      </c>
      <c r="F1178" t="s">
        <v>657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0</v>
      </c>
      <c r="Z1178">
        <v>0</v>
      </c>
    </row>
    <row r="1179" spans="1:38" x14ac:dyDescent="0.3">
      <c r="A1179">
        <v>348176</v>
      </c>
      <c r="B1179" t="s">
        <v>38</v>
      </c>
      <c r="C1179" t="s">
        <v>658</v>
      </c>
      <c r="D1179">
        <v>2020</v>
      </c>
      <c r="E1179" t="s">
        <v>157</v>
      </c>
      <c r="F1179" t="s">
        <v>158</v>
      </c>
      <c r="S1179">
        <v>0</v>
      </c>
      <c r="T1179">
        <v>1</v>
      </c>
      <c r="U1179">
        <v>1</v>
      </c>
      <c r="V1179">
        <v>6</v>
      </c>
      <c r="W1179">
        <v>8</v>
      </c>
      <c r="X1179">
        <v>2</v>
      </c>
      <c r="Z1179">
        <v>0</v>
      </c>
    </row>
    <row r="1180" spans="1:38" x14ac:dyDescent="0.3">
      <c r="A1180">
        <v>348176</v>
      </c>
      <c r="B1180" t="s">
        <v>38</v>
      </c>
      <c r="C1180" t="s">
        <v>658</v>
      </c>
      <c r="D1180">
        <v>2021</v>
      </c>
      <c r="E1180" t="s">
        <v>157</v>
      </c>
      <c r="F1180" t="s">
        <v>158</v>
      </c>
      <c r="S1180">
        <v>3</v>
      </c>
      <c r="T1180">
        <v>1</v>
      </c>
      <c r="U1180">
        <v>4</v>
      </c>
      <c r="V1180">
        <v>19</v>
      </c>
      <c r="W1180">
        <v>38</v>
      </c>
      <c r="X1180">
        <v>9</v>
      </c>
      <c r="Z1180">
        <v>0</v>
      </c>
    </row>
    <row r="1181" spans="1:38" x14ac:dyDescent="0.3">
      <c r="A1181">
        <v>348176</v>
      </c>
      <c r="B1181" t="s">
        <v>38</v>
      </c>
      <c r="C1181" t="s">
        <v>658</v>
      </c>
      <c r="D1181">
        <v>2022</v>
      </c>
      <c r="E1181" t="s">
        <v>157</v>
      </c>
      <c r="F1181" t="s">
        <v>158</v>
      </c>
      <c r="S1181">
        <v>1</v>
      </c>
      <c r="T1181">
        <v>3</v>
      </c>
      <c r="U1181">
        <v>1</v>
      </c>
      <c r="V1181">
        <v>10</v>
      </c>
      <c r="W1181">
        <v>28</v>
      </c>
      <c r="X1181">
        <v>1.5</v>
      </c>
      <c r="Z1181">
        <v>0</v>
      </c>
    </row>
    <row r="1182" spans="1:38" x14ac:dyDescent="0.3">
      <c r="A1182">
        <v>348176</v>
      </c>
      <c r="B1182" t="s">
        <v>38</v>
      </c>
      <c r="C1182" t="s">
        <v>658</v>
      </c>
      <c r="D1182">
        <v>2023</v>
      </c>
      <c r="E1182" t="s">
        <v>157</v>
      </c>
      <c r="F1182" t="s">
        <v>158</v>
      </c>
      <c r="S1182">
        <v>0</v>
      </c>
      <c r="T1182">
        <v>2</v>
      </c>
      <c r="U1182">
        <v>1</v>
      </c>
      <c r="V1182">
        <v>15</v>
      </c>
      <c r="W1182">
        <v>24</v>
      </c>
      <c r="X1182">
        <v>4.5</v>
      </c>
      <c r="Z1182">
        <v>0</v>
      </c>
      <c r="AK1182">
        <v>0</v>
      </c>
      <c r="AL1182">
        <v>0</v>
      </c>
    </row>
    <row r="1183" spans="1:38" x14ac:dyDescent="0.3">
      <c r="A1183">
        <v>348211</v>
      </c>
      <c r="B1183" t="s">
        <v>46</v>
      </c>
      <c r="C1183" t="s">
        <v>659</v>
      </c>
      <c r="D1183">
        <v>2020</v>
      </c>
      <c r="E1183" t="s">
        <v>98</v>
      </c>
      <c r="F1183" t="s">
        <v>99</v>
      </c>
      <c r="P1183">
        <v>8</v>
      </c>
      <c r="Q1183">
        <v>0</v>
      </c>
      <c r="R1183">
        <v>92</v>
      </c>
    </row>
    <row r="1184" spans="1:38" x14ac:dyDescent="0.3">
      <c r="A1184">
        <v>348211</v>
      </c>
      <c r="B1184" t="s">
        <v>46</v>
      </c>
      <c r="C1184" t="s">
        <v>659</v>
      </c>
      <c r="D1184">
        <v>2021</v>
      </c>
      <c r="E1184" t="s">
        <v>98</v>
      </c>
      <c r="F1184" t="s">
        <v>99</v>
      </c>
      <c r="P1184">
        <v>2</v>
      </c>
      <c r="Q1184">
        <v>0</v>
      </c>
      <c r="R1184">
        <v>16</v>
      </c>
    </row>
    <row r="1185" spans="1:38" x14ac:dyDescent="0.3">
      <c r="A1185">
        <v>348211</v>
      </c>
      <c r="B1185" t="s">
        <v>46</v>
      </c>
      <c r="C1185" t="s">
        <v>659</v>
      </c>
      <c r="D1185">
        <v>2022</v>
      </c>
      <c r="E1185" t="s">
        <v>393</v>
      </c>
      <c r="F1185" t="s">
        <v>394</v>
      </c>
      <c r="P1185">
        <v>41</v>
      </c>
      <c r="Q1185">
        <v>4</v>
      </c>
      <c r="R1185">
        <v>471</v>
      </c>
    </row>
    <row r="1186" spans="1:38" x14ac:dyDescent="0.3">
      <c r="A1186">
        <v>348211</v>
      </c>
      <c r="B1186" t="s">
        <v>46</v>
      </c>
      <c r="C1186" t="s">
        <v>659</v>
      </c>
      <c r="D1186">
        <v>2023</v>
      </c>
      <c r="E1186" t="s">
        <v>393</v>
      </c>
      <c r="F1186" t="s">
        <v>394</v>
      </c>
      <c r="P1186">
        <v>61</v>
      </c>
      <c r="Q1186">
        <v>3</v>
      </c>
      <c r="R1186">
        <v>815</v>
      </c>
      <c r="AK1186">
        <v>1</v>
      </c>
      <c r="AL1186">
        <v>0</v>
      </c>
    </row>
    <row r="1187" spans="1:38" x14ac:dyDescent="0.3">
      <c r="A1187">
        <v>348211</v>
      </c>
      <c r="B1187" t="s">
        <v>46</v>
      </c>
      <c r="C1187" t="s">
        <v>659</v>
      </c>
      <c r="D1187">
        <v>2024</v>
      </c>
      <c r="E1187" t="s">
        <v>160</v>
      </c>
      <c r="F1187" t="s">
        <v>161</v>
      </c>
      <c r="P1187">
        <v>36</v>
      </c>
      <c r="Q1187">
        <v>2</v>
      </c>
      <c r="R1187">
        <v>509</v>
      </c>
    </row>
    <row r="1188" spans="1:38" x14ac:dyDescent="0.3">
      <c r="A1188">
        <v>348216</v>
      </c>
      <c r="B1188" t="s">
        <v>42</v>
      </c>
      <c r="C1188" t="s">
        <v>660</v>
      </c>
      <c r="D1188">
        <v>2020</v>
      </c>
      <c r="E1188" t="s">
        <v>56</v>
      </c>
      <c r="F1188" t="s">
        <v>57</v>
      </c>
      <c r="S1188">
        <v>0</v>
      </c>
      <c r="T1188">
        <v>0</v>
      </c>
      <c r="U1188">
        <v>0</v>
      </c>
      <c r="V1188">
        <v>1</v>
      </c>
      <c r="W1188">
        <v>1</v>
      </c>
      <c r="X1188">
        <v>0</v>
      </c>
      <c r="Z1188">
        <v>0</v>
      </c>
    </row>
    <row r="1189" spans="1:38" x14ac:dyDescent="0.3">
      <c r="A1189">
        <v>348216</v>
      </c>
      <c r="B1189" t="s">
        <v>42</v>
      </c>
      <c r="C1189" t="s">
        <v>660</v>
      </c>
      <c r="D1189">
        <v>2021</v>
      </c>
      <c r="E1189" t="s">
        <v>56</v>
      </c>
      <c r="F1189" t="s">
        <v>57</v>
      </c>
      <c r="S1189">
        <v>0</v>
      </c>
      <c r="T1189">
        <v>2</v>
      </c>
      <c r="U1189">
        <v>0</v>
      </c>
      <c r="V1189">
        <v>13</v>
      </c>
      <c r="W1189">
        <v>29</v>
      </c>
      <c r="X1189">
        <v>0.5</v>
      </c>
      <c r="Y1189">
        <v>2</v>
      </c>
      <c r="Z1189">
        <v>0</v>
      </c>
    </row>
    <row r="1190" spans="1:38" x14ac:dyDescent="0.3">
      <c r="A1190">
        <v>348216</v>
      </c>
      <c r="B1190" t="s">
        <v>42</v>
      </c>
      <c r="C1190" t="s">
        <v>660</v>
      </c>
      <c r="D1190">
        <v>2022</v>
      </c>
      <c r="E1190" t="s">
        <v>56</v>
      </c>
      <c r="F1190" t="s">
        <v>57</v>
      </c>
      <c r="S1190">
        <v>2</v>
      </c>
      <c r="T1190">
        <v>0</v>
      </c>
      <c r="U1190">
        <v>0</v>
      </c>
      <c r="V1190">
        <v>22</v>
      </c>
      <c r="W1190">
        <v>36</v>
      </c>
      <c r="X1190">
        <v>3</v>
      </c>
      <c r="Y1190">
        <v>3</v>
      </c>
      <c r="Z1190">
        <v>0</v>
      </c>
    </row>
    <row r="1191" spans="1:38" x14ac:dyDescent="0.3">
      <c r="A1191">
        <v>348216</v>
      </c>
      <c r="B1191" t="s">
        <v>42</v>
      </c>
      <c r="C1191" t="s">
        <v>660</v>
      </c>
      <c r="D1191">
        <v>2023</v>
      </c>
      <c r="E1191" t="s">
        <v>56</v>
      </c>
      <c r="F1191" t="s">
        <v>57</v>
      </c>
      <c r="S1191">
        <v>3</v>
      </c>
      <c r="T1191">
        <v>0</v>
      </c>
      <c r="U1191">
        <v>0</v>
      </c>
      <c r="V1191">
        <v>25</v>
      </c>
      <c r="W1191">
        <v>39</v>
      </c>
      <c r="X1191">
        <v>4</v>
      </c>
      <c r="Z1191">
        <v>0</v>
      </c>
      <c r="AK1191">
        <v>0</v>
      </c>
      <c r="AL1191">
        <v>0</v>
      </c>
    </row>
    <row r="1192" spans="1:38" x14ac:dyDescent="0.3">
      <c r="A1192">
        <v>348216</v>
      </c>
      <c r="B1192" t="s">
        <v>42</v>
      </c>
      <c r="C1192" t="s">
        <v>660</v>
      </c>
      <c r="D1192">
        <v>2024</v>
      </c>
      <c r="E1192" t="s">
        <v>56</v>
      </c>
      <c r="F1192" t="s">
        <v>57</v>
      </c>
      <c r="S1192">
        <v>7</v>
      </c>
      <c r="T1192">
        <v>2</v>
      </c>
      <c r="U1192">
        <v>0</v>
      </c>
      <c r="V1192">
        <v>40</v>
      </c>
      <c r="W1192">
        <v>68</v>
      </c>
      <c r="X1192">
        <v>5.5</v>
      </c>
      <c r="Y1192">
        <v>2</v>
      </c>
      <c r="Z1192">
        <v>0</v>
      </c>
    </row>
    <row r="1193" spans="1:38" x14ac:dyDescent="0.3">
      <c r="A1193">
        <v>348245</v>
      </c>
      <c r="B1193" t="s">
        <v>76</v>
      </c>
      <c r="C1193" t="s">
        <v>661</v>
      </c>
      <c r="D1193">
        <v>2020</v>
      </c>
      <c r="E1193" t="s">
        <v>512</v>
      </c>
      <c r="F1193" t="s">
        <v>513</v>
      </c>
      <c r="M1193">
        <v>69</v>
      </c>
      <c r="N1193">
        <v>255</v>
      </c>
      <c r="O1193">
        <v>4</v>
      </c>
      <c r="P1193">
        <v>12</v>
      </c>
      <c r="Q1193">
        <v>0</v>
      </c>
      <c r="R1193">
        <v>58</v>
      </c>
    </row>
    <row r="1194" spans="1:38" x14ac:dyDescent="0.3">
      <c r="A1194">
        <v>348245</v>
      </c>
      <c r="B1194" t="s">
        <v>76</v>
      </c>
      <c r="C1194" t="s">
        <v>661</v>
      </c>
      <c r="D1194">
        <v>2021</v>
      </c>
      <c r="E1194" t="s">
        <v>512</v>
      </c>
      <c r="F1194" t="s">
        <v>513</v>
      </c>
      <c r="M1194">
        <v>87</v>
      </c>
      <c r="N1194">
        <v>568</v>
      </c>
      <c r="O1194">
        <v>7</v>
      </c>
      <c r="P1194">
        <v>6</v>
      </c>
      <c r="Q1194">
        <v>0</v>
      </c>
      <c r="R1194">
        <v>52</v>
      </c>
      <c r="AA1194">
        <v>10.5</v>
      </c>
      <c r="AB1194">
        <v>21</v>
      </c>
      <c r="AC1194">
        <v>2</v>
      </c>
      <c r="AD1194">
        <v>0</v>
      </c>
      <c r="AE1194">
        <v>21</v>
      </c>
    </row>
    <row r="1195" spans="1:38" x14ac:dyDescent="0.3">
      <c r="A1195">
        <v>348245</v>
      </c>
      <c r="B1195" t="s">
        <v>76</v>
      </c>
      <c r="C1195" t="s">
        <v>661</v>
      </c>
      <c r="D1195">
        <v>2022</v>
      </c>
      <c r="E1195" t="s">
        <v>512</v>
      </c>
      <c r="F1195" t="s">
        <v>513</v>
      </c>
      <c r="M1195">
        <v>148</v>
      </c>
      <c r="N1195">
        <v>693</v>
      </c>
      <c r="O1195">
        <v>7</v>
      </c>
      <c r="P1195">
        <v>28</v>
      </c>
      <c r="Q1195">
        <v>1</v>
      </c>
      <c r="R1195">
        <v>170</v>
      </c>
      <c r="S1195">
        <v>0</v>
      </c>
      <c r="T1195">
        <v>0</v>
      </c>
      <c r="U1195">
        <v>0</v>
      </c>
      <c r="V1195">
        <v>2</v>
      </c>
      <c r="W1195">
        <v>2</v>
      </c>
      <c r="X1195">
        <v>0</v>
      </c>
      <c r="Z1195">
        <v>0</v>
      </c>
      <c r="AK1195">
        <v>2</v>
      </c>
      <c r="AL1195">
        <v>1</v>
      </c>
    </row>
    <row r="1196" spans="1:38" x14ac:dyDescent="0.3">
      <c r="A1196">
        <v>348245</v>
      </c>
      <c r="B1196" t="s">
        <v>76</v>
      </c>
      <c r="C1196" t="s">
        <v>661</v>
      </c>
      <c r="D1196">
        <v>2023</v>
      </c>
      <c r="E1196" t="s">
        <v>512</v>
      </c>
      <c r="F1196" t="s">
        <v>513</v>
      </c>
      <c r="M1196">
        <v>291</v>
      </c>
      <c r="N1196">
        <v>1545</v>
      </c>
      <c r="O1196">
        <v>10</v>
      </c>
      <c r="P1196">
        <v>29</v>
      </c>
      <c r="Q1196">
        <v>0</v>
      </c>
      <c r="R1196">
        <v>69</v>
      </c>
      <c r="AK1196">
        <v>2</v>
      </c>
      <c r="AL1196">
        <v>2</v>
      </c>
    </row>
    <row r="1197" spans="1:38" x14ac:dyDescent="0.3">
      <c r="A1197">
        <v>348245</v>
      </c>
      <c r="B1197" t="s">
        <v>76</v>
      </c>
      <c r="C1197" t="s">
        <v>661</v>
      </c>
      <c r="D1197">
        <v>2024</v>
      </c>
      <c r="E1197" t="s">
        <v>512</v>
      </c>
      <c r="F1197" t="s">
        <v>513</v>
      </c>
      <c r="G1197">
        <v>3</v>
      </c>
      <c r="H1197">
        <v>2</v>
      </c>
      <c r="I1197">
        <v>38</v>
      </c>
      <c r="J1197">
        <v>0.66700000000000004</v>
      </c>
      <c r="K1197">
        <v>0</v>
      </c>
      <c r="L1197">
        <v>0</v>
      </c>
      <c r="M1197">
        <v>286</v>
      </c>
      <c r="N1197">
        <v>1505</v>
      </c>
      <c r="O1197">
        <v>17</v>
      </c>
      <c r="P1197">
        <v>27</v>
      </c>
      <c r="Q1197">
        <v>1</v>
      </c>
      <c r="R1197">
        <v>185</v>
      </c>
    </row>
    <row r="1198" spans="1:38" x14ac:dyDescent="0.3">
      <c r="A1198">
        <v>348304</v>
      </c>
      <c r="B1198" t="s">
        <v>46</v>
      </c>
      <c r="C1198" t="s">
        <v>662</v>
      </c>
      <c r="D1198">
        <v>2020</v>
      </c>
      <c r="E1198" t="s">
        <v>345</v>
      </c>
      <c r="F1198" t="s">
        <v>346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5</v>
      </c>
      <c r="O1198">
        <v>0</v>
      </c>
      <c r="P1198">
        <v>43</v>
      </c>
      <c r="Q1198">
        <v>4</v>
      </c>
      <c r="R1198">
        <v>377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0</v>
      </c>
      <c r="Z1198">
        <v>0</v>
      </c>
      <c r="AF1198">
        <v>1.2</v>
      </c>
      <c r="AG1198">
        <v>5</v>
      </c>
      <c r="AH1198">
        <v>5</v>
      </c>
      <c r="AI1198">
        <v>0</v>
      </c>
      <c r="AJ1198">
        <v>6</v>
      </c>
    </row>
    <row r="1199" spans="1:38" x14ac:dyDescent="0.3">
      <c r="A1199">
        <v>348304</v>
      </c>
      <c r="B1199" t="s">
        <v>46</v>
      </c>
      <c r="C1199" t="s">
        <v>662</v>
      </c>
      <c r="D1199">
        <v>2021</v>
      </c>
      <c r="E1199" t="s">
        <v>345</v>
      </c>
      <c r="F1199" t="s">
        <v>346</v>
      </c>
      <c r="P1199">
        <v>87</v>
      </c>
      <c r="Q1199">
        <v>14</v>
      </c>
      <c r="R1199">
        <v>1402</v>
      </c>
      <c r="S1199">
        <v>0</v>
      </c>
      <c r="T1199">
        <v>0</v>
      </c>
      <c r="U1199">
        <v>0</v>
      </c>
      <c r="V1199">
        <v>2</v>
      </c>
      <c r="W1199">
        <v>2</v>
      </c>
      <c r="X1199">
        <v>0</v>
      </c>
      <c r="Z1199">
        <v>0</v>
      </c>
    </row>
    <row r="1200" spans="1:38" x14ac:dyDescent="0.3">
      <c r="A1200">
        <v>348304</v>
      </c>
      <c r="B1200" t="s">
        <v>46</v>
      </c>
      <c r="C1200" t="s">
        <v>662</v>
      </c>
      <c r="D1200">
        <v>2022</v>
      </c>
      <c r="E1200" t="s">
        <v>67</v>
      </c>
      <c r="F1200" t="s">
        <v>68</v>
      </c>
      <c r="P1200">
        <v>51</v>
      </c>
      <c r="Q1200">
        <v>5</v>
      </c>
      <c r="R1200">
        <v>577</v>
      </c>
      <c r="AF1200">
        <v>1</v>
      </c>
      <c r="AG1200">
        <v>4</v>
      </c>
      <c r="AH1200">
        <v>4</v>
      </c>
      <c r="AI1200">
        <v>0</v>
      </c>
      <c r="AJ1200">
        <v>4</v>
      </c>
      <c r="AK1200">
        <v>1</v>
      </c>
      <c r="AL1200">
        <v>0</v>
      </c>
    </row>
    <row r="1201" spans="1:38" x14ac:dyDescent="0.3">
      <c r="A1201">
        <v>348494</v>
      </c>
      <c r="B1201" t="s">
        <v>178</v>
      </c>
      <c r="C1201" t="s">
        <v>663</v>
      </c>
      <c r="D1201">
        <v>2022</v>
      </c>
      <c r="E1201" t="s">
        <v>348</v>
      </c>
      <c r="F1201" t="s">
        <v>349</v>
      </c>
      <c r="S1201">
        <v>0</v>
      </c>
      <c r="T1201">
        <v>0</v>
      </c>
      <c r="U1201">
        <v>0</v>
      </c>
      <c r="V1201">
        <v>1</v>
      </c>
      <c r="W1201">
        <v>1</v>
      </c>
      <c r="X1201">
        <v>0</v>
      </c>
      <c r="Z1201">
        <v>0</v>
      </c>
    </row>
    <row r="1202" spans="1:38" x14ac:dyDescent="0.3">
      <c r="A1202">
        <v>348580</v>
      </c>
      <c r="B1202" t="s">
        <v>50</v>
      </c>
      <c r="C1202" t="s">
        <v>664</v>
      </c>
      <c r="D1202">
        <v>2018</v>
      </c>
      <c r="E1202" t="s">
        <v>212</v>
      </c>
      <c r="F1202" t="s">
        <v>213</v>
      </c>
      <c r="S1202">
        <v>1</v>
      </c>
      <c r="T1202">
        <v>3</v>
      </c>
      <c r="U1202">
        <v>2</v>
      </c>
      <c r="V1202">
        <v>49</v>
      </c>
      <c r="W1202">
        <v>59</v>
      </c>
      <c r="X1202">
        <v>2.5</v>
      </c>
      <c r="Y1202">
        <v>1</v>
      </c>
      <c r="Z1202">
        <v>0</v>
      </c>
      <c r="AF1202">
        <v>14</v>
      </c>
      <c r="AG1202">
        <v>14</v>
      </c>
      <c r="AH1202">
        <v>1</v>
      </c>
      <c r="AI1202">
        <v>0</v>
      </c>
      <c r="AJ1202">
        <v>14</v>
      </c>
    </row>
    <row r="1203" spans="1:38" x14ac:dyDescent="0.3">
      <c r="A1203">
        <v>348580</v>
      </c>
      <c r="B1203" t="s">
        <v>50</v>
      </c>
      <c r="C1203" t="s">
        <v>664</v>
      </c>
      <c r="D1203">
        <v>2019</v>
      </c>
      <c r="E1203" t="s">
        <v>212</v>
      </c>
      <c r="F1203" t="s">
        <v>213</v>
      </c>
      <c r="S1203">
        <v>5</v>
      </c>
      <c r="T1203">
        <v>0</v>
      </c>
      <c r="U1203">
        <v>1.5</v>
      </c>
      <c r="V1203">
        <v>27</v>
      </c>
      <c r="W1203">
        <v>49</v>
      </c>
      <c r="X1203">
        <v>2</v>
      </c>
      <c r="Y1203">
        <v>1</v>
      </c>
      <c r="Z1203">
        <v>0</v>
      </c>
    </row>
    <row r="1204" spans="1:38" x14ac:dyDescent="0.3">
      <c r="A1204">
        <v>348580</v>
      </c>
      <c r="B1204" t="s">
        <v>50</v>
      </c>
      <c r="C1204" t="s">
        <v>664</v>
      </c>
      <c r="D1204">
        <v>2020</v>
      </c>
      <c r="E1204" t="s">
        <v>212</v>
      </c>
      <c r="F1204" t="s">
        <v>213</v>
      </c>
      <c r="S1204">
        <v>7</v>
      </c>
      <c r="T1204">
        <v>1</v>
      </c>
      <c r="U1204">
        <v>0</v>
      </c>
      <c r="V1204">
        <v>27</v>
      </c>
      <c r="W1204">
        <v>32</v>
      </c>
      <c r="X1204">
        <v>1</v>
      </c>
      <c r="Z1204">
        <v>0</v>
      </c>
    </row>
    <row r="1205" spans="1:38" x14ac:dyDescent="0.3">
      <c r="A1205">
        <v>348580</v>
      </c>
      <c r="B1205" t="s">
        <v>50</v>
      </c>
      <c r="C1205" t="s">
        <v>664</v>
      </c>
      <c r="D1205">
        <v>2021</v>
      </c>
      <c r="E1205" t="s">
        <v>212</v>
      </c>
      <c r="F1205" t="s">
        <v>213</v>
      </c>
      <c r="S1205">
        <v>11</v>
      </c>
      <c r="T1205">
        <v>1</v>
      </c>
      <c r="U1205">
        <v>1.5</v>
      </c>
      <c r="V1205">
        <v>39</v>
      </c>
      <c r="W1205">
        <v>51</v>
      </c>
      <c r="X1205">
        <v>2</v>
      </c>
      <c r="Z1205">
        <v>0</v>
      </c>
    </row>
    <row r="1206" spans="1:38" x14ac:dyDescent="0.3">
      <c r="A1206">
        <v>348580</v>
      </c>
      <c r="B1206" t="s">
        <v>50</v>
      </c>
      <c r="C1206" t="s">
        <v>664</v>
      </c>
      <c r="D1206">
        <v>2022</v>
      </c>
      <c r="E1206" t="s">
        <v>105</v>
      </c>
      <c r="F1206" t="s">
        <v>106</v>
      </c>
      <c r="S1206">
        <v>3</v>
      </c>
      <c r="T1206">
        <v>0</v>
      </c>
      <c r="U1206">
        <v>0</v>
      </c>
      <c r="V1206">
        <v>27</v>
      </c>
      <c r="W1206">
        <v>42</v>
      </c>
      <c r="X1206">
        <v>0.5</v>
      </c>
      <c r="Y1206">
        <v>2</v>
      </c>
      <c r="Z1206">
        <v>0</v>
      </c>
      <c r="AK1206">
        <v>0</v>
      </c>
      <c r="AL1206">
        <v>0</v>
      </c>
    </row>
    <row r="1207" spans="1:38" x14ac:dyDescent="0.3">
      <c r="A1207">
        <v>348612</v>
      </c>
      <c r="B1207" t="s">
        <v>50</v>
      </c>
      <c r="C1207" t="s">
        <v>665</v>
      </c>
      <c r="D1207">
        <v>2020</v>
      </c>
      <c r="E1207" t="s">
        <v>212</v>
      </c>
      <c r="F1207" t="s">
        <v>213</v>
      </c>
      <c r="S1207">
        <v>0</v>
      </c>
      <c r="T1207">
        <v>0</v>
      </c>
      <c r="U1207">
        <v>0</v>
      </c>
      <c r="V1207">
        <v>1</v>
      </c>
      <c r="W1207">
        <v>1</v>
      </c>
      <c r="X1207">
        <v>0</v>
      </c>
      <c r="Z1207">
        <v>0</v>
      </c>
    </row>
    <row r="1208" spans="1:38" x14ac:dyDescent="0.3">
      <c r="A1208">
        <v>348612</v>
      </c>
      <c r="B1208" t="s">
        <v>50</v>
      </c>
      <c r="C1208" t="s">
        <v>665</v>
      </c>
      <c r="D1208">
        <v>2021</v>
      </c>
      <c r="E1208" t="s">
        <v>212</v>
      </c>
      <c r="F1208" t="s">
        <v>213</v>
      </c>
      <c r="S1208">
        <v>3</v>
      </c>
      <c r="T1208">
        <v>1</v>
      </c>
      <c r="U1208">
        <v>0.5</v>
      </c>
      <c r="V1208">
        <v>18</v>
      </c>
      <c r="W1208">
        <v>23</v>
      </c>
      <c r="X1208">
        <v>0.5</v>
      </c>
      <c r="Z1208">
        <v>0</v>
      </c>
    </row>
    <row r="1209" spans="1:38" x14ac:dyDescent="0.3">
      <c r="A1209">
        <v>348612</v>
      </c>
      <c r="B1209" t="s">
        <v>50</v>
      </c>
      <c r="C1209" t="s">
        <v>665</v>
      </c>
      <c r="D1209">
        <v>2022</v>
      </c>
      <c r="E1209" t="s">
        <v>212</v>
      </c>
      <c r="F1209" t="s">
        <v>213</v>
      </c>
      <c r="S1209">
        <v>9</v>
      </c>
      <c r="T1209">
        <v>0</v>
      </c>
      <c r="U1209">
        <v>0</v>
      </c>
      <c r="V1209">
        <v>32</v>
      </c>
      <c r="W1209">
        <v>48</v>
      </c>
      <c r="X1209">
        <v>0.5</v>
      </c>
      <c r="Y1209">
        <v>1</v>
      </c>
      <c r="Z1209">
        <v>0</v>
      </c>
    </row>
    <row r="1210" spans="1:38" x14ac:dyDescent="0.3">
      <c r="A1210">
        <v>348612</v>
      </c>
      <c r="B1210" t="s">
        <v>50</v>
      </c>
      <c r="C1210" t="s">
        <v>665</v>
      </c>
      <c r="D1210">
        <v>2023</v>
      </c>
      <c r="E1210" t="s">
        <v>306</v>
      </c>
      <c r="F1210" t="s">
        <v>307</v>
      </c>
      <c r="S1210">
        <v>13</v>
      </c>
      <c r="T1210">
        <v>0</v>
      </c>
      <c r="U1210">
        <v>2</v>
      </c>
      <c r="V1210">
        <v>39</v>
      </c>
      <c r="W1210">
        <v>44</v>
      </c>
      <c r="X1210">
        <v>5</v>
      </c>
      <c r="Y1210">
        <v>3</v>
      </c>
      <c r="Z1210">
        <v>0</v>
      </c>
      <c r="AK1210">
        <v>0</v>
      </c>
      <c r="AL1210">
        <v>0</v>
      </c>
    </row>
    <row r="1211" spans="1:38" x14ac:dyDescent="0.3">
      <c r="A1211">
        <v>348612</v>
      </c>
      <c r="B1211" t="s">
        <v>50</v>
      </c>
      <c r="C1211" t="s">
        <v>665</v>
      </c>
      <c r="D1211">
        <v>2024</v>
      </c>
      <c r="E1211" t="s">
        <v>102</v>
      </c>
      <c r="F1211" t="s">
        <v>103</v>
      </c>
      <c r="S1211">
        <v>10</v>
      </c>
      <c r="T1211">
        <v>0</v>
      </c>
      <c r="U1211">
        <v>0</v>
      </c>
      <c r="V1211">
        <v>20</v>
      </c>
      <c r="W1211">
        <v>38</v>
      </c>
      <c r="X1211">
        <v>0.5</v>
      </c>
      <c r="Z1211">
        <v>0</v>
      </c>
    </row>
    <row r="1212" spans="1:38" x14ac:dyDescent="0.3">
      <c r="A1212">
        <v>348680</v>
      </c>
      <c r="B1212" t="s">
        <v>50</v>
      </c>
      <c r="C1212" t="s">
        <v>666</v>
      </c>
      <c r="D1212">
        <v>2020</v>
      </c>
      <c r="E1212" t="s">
        <v>139</v>
      </c>
      <c r="F1212" t="s">
        <v>140</v>
      </c>
      <c r="S1212">
        <v>2</v>
      </c>
      <c r="T1212">
        <v>0</v>
      </c>
      <c r="U1212">
        <v>0</v>
      </c>
      <c r="V1212">
        <v>23</v>
      </c>
      <c r="W1212">
        <v>30</v>
      </c>
      <c r="X1212">
        <v>0</v>
      </c>
      <c r="Y1212">
        <v>1</v>
      </c>
      <c r="Z1212">
        <v>0</v>
      </c>
    </row>
    <row r="1213" spans="1:38" x14ac:dyDescent="0.3">
      <c r="A1213">
        <v>348680</v>
      </c>
      <c r="B1213" t="s">
        <v>50</v>
      </c>
      <c r="C1213" t="s">
        <v>666</v>
      </c>
      <c r="D1213">
        <v>2021</v>
      </c>
      <c r="E1213" t="s">
        <v>139</v>
      </c>
      <c r="F1213" t="s">
        <v>140</v>
      </c>
      <c r="S1213">
        <v>6</v>
      </c>
      <c r="T1213">
        <v>0</v>
      </c>
      <c r="U1213">
        <v>1</v>
      </c>
      <c r="V1213">
        <v>22</v>
      </c>
      <c r="W1213">
        <v>32</v>
      </c>
      <c r="X1213">
        <v>2.5</v>
      </c>
      <c r="Z1213">
        <v>0</v>
      </c>
    </row>
    <row r="1214" spans="1:38" x14ac:dyDescent="0.3">
      <c r="A1214">
        <v>348680</v>
      </c>
      <c r="B1214" t="s">
        <v>50</v>
      </c>
      <c r="C1214" t="s">
        <v>666</v>
      </c>
      <c r="D1214">
        <v>2022</v>
      </c>
      <c r="E1214" t="s">
        <v>139</v>
      </c>
      <c r="F1214" t="s">
        <v>140</v>
      </c>
      <c r="S1214">
        <v>7</v>
      </c>
      <c r="T1214">
        <v>2</v>
      </c>
      <c r="U1214">
        <v>0</v>
      </c>
      <c r="V1214">
        <v>26</v>
      </c>
      <c r="W1214">
        <v>36</v>
      </c>
      <c r="X1214">
        <v>0</v>
      </c>
      <c r="Z1214">
        <v>0</v>
      </c>
    </row>
    <row r="1215" spans="1:38" x14ac:dyDescent="0.3">
      <c r="A1215">
        <v>348680</v>
      </c>
      <c r="B1215" t="s">
        <v>50</v>
      </c>
      <c r="C1215" t="s">
        <v>666</v>
      </c>
      <c r="D1215">
        <v>2023</v>
      </c>
      <c r="E1215" t="s">
        <v>139</v>
      </c>
      <c r="F1215" t="s">
        <v>140</v>
      </c>
      <c r="S1215">
        <v>6</v>
      </c>
      <c r="T1215">
        <v>0</v>
      </c>
      <c r="U1215">
        <v>0</v>
      </c>
      <c r="V1215">
        <v>18</v>
      </c>
      <c r="W1215">
        <v>22</v>
      </c>
      <c r="X1215">
        <v>0</v>
      </c>
      <c r="Y1215">
        <v>3</v>
      </c>
      <c r="Z1215">
        <v>0</v>
      </c>
    </row>
    <row r="1216" spans="1:38" x14ac:dyDescent="0.3">
      <c r="A1216">
        <v>348680</v>
      </c>
      <c r="B1216" t="s">
        <v>50</v>
      </c>
      <c r="C1216" t="s">
        <v>666</v>
      </c>
      <c r="D1216">
        <v>2024</v>
      </c>
      <c r="E1216" t="s">
        <v>411</v>
      </c>
      <c r="F1216" t="s">
        <v>412</v>
      </c>
      <c r="S1216">
        <v>6</v>
      </c>
      <c r="T1216">
        <v>1</v>
      </c>
      <c r="U1216">
        <v>0</v>
      </c>
      <c r="V1216">
        <v>27</v>
      </c>
      <c r="W1216">
        <v>38</v>
      </c>
      <c r="X1216">
        <v>0</v>
      </c>
      <c r="Y1216">
        <v>2</v>
      </c>
      <c r="Z1216">
        <v>0</v>
      </c>
    </row>
    <row r="1217" spans="1:38" x14ac:dyDescent="0.3">
      <c r="A1217">
        <v>348705</v>
      </c>
      <c r="B1217" t="s">
        <v>38</v>
      </c>
      <c r="C1217" t="s">
        <v>667</v>
      </c>
      <c r="D1217">
        <v>2020</v>
      </c>
      <c r="E1217" t="s">
        <v>122</v>
      </c>
      <c r="F1217" t="s">
        <v>123</v>
      </c>
      <c r="S1217">
        <v>0</v>
      </c>
      <c r="T1217">
        <v>0</v>
      </c>
      <c r="U1217">
        <v>0</v>
      </c>
      <c r="V1217">
        <v>5</v>
      </c>
      <c r="W1217">
        <v>13</v>
      </c>
      <c r="X1217">
        <v>1.5</v>
      </c>
      <c r="Z1217">
        <v>0</v>
      </c>
      <c r="AK1217">
        <v>0</v>
      </c>
      <c r="AL1217">
        <v>0</v>
      </c>
    </row>
    <row r="1218" spans="1:38" x14ac:dyDescent="0.3">
      <c r="A1218">
        <v>348705</v>
      </c>
      <c r="B1218" t="s">
        <v>38</v>
      </c>
      <c r="C1218" t="s">
        <v>667</v>
      </c>
      <c r="D1218">
        <v>2021</v>
      </c>
      <c r="E1218" t="s">
        <v>122</v>
      </c>
      <c r="F1218" t="s">
        <v>123</v>
      </c>
      <c r="S1218">
        <v>1</v>
      </c>
      <c r="T1218">
        <v>4</v>
      </c>
      <c r="U1218">
        <v>2.5</v>
      </c>
      <c r="V1218">
        <v>25</v>
      </c>
      <c r="W1218">
        <v>40</v>
      </c>
      <c r="X1218">
        <v>3.5</v>
      </c>
      <c r="Z1218">
        <v>0</v>
      </c>
    </row>
    <row r="1219" spans="1:38" x14ac:dyDescent="0.3">
      <c r="A1219">
        <v>348705</v>
      </c>
      <c r="B1219" t="s">
        <v>38</v>
      </c>
      <c r="C1219" t="s">
        <v>667</v>
      </c>
      <c r="D1219">
        <v>2022</v>
      </c>
      <c r="E1219" t="s">
        <v>122</v>
      </c>
      <c r="F1219" t="s">
        <v>123</v>
      </c>
      <c r="S1219">
        <v>1</v>
      </c>
      <c r="T1219">
        <v>2</v>
      </c>
      <c r="U1219">
        <v>1</v>
      </c>
      <c r="V1219">
        <v>17</v>
      </c>
      <c r="W1219">
        <v>32</v>
      </c>
      <c r="X1219">
        <v>5.5</v>
      </c>
      <c r="Z1219">
        <v>0</v>
      </c>
    </row>
    <row r="1220" spans="1:38" x14ac:dyDescent="0.3">
      <c r="A1220">
        <v>348705</v>
      </c>
      <c r="B1220" t="s">
        <v>38</v>
      </c>
      <c r="C1220" t="s">
        <v>667</v>
      </c>
      <c r="D1220">
        <v>2023</v>
      </c>
      <c r="E1220" t="s">
        <v>122</v>
      </c>
      <c r="F1220" t="s">
        <v>123</v>
      </c>
      <c r="S1220">
        <v>3</v>
      </c>
      <c r="T1220">
        <v>4</v>
      </c>
      <c r="U1220">
        <v>0.5</v>
      </c>
      <c r="V1220">
        <v>15</v>
      </c>
      <c r="W1220">
        <v>41</v>
      </c>
      <c r="X1220">
        <v>3</v>
      </c>
      <c r="Z1220">
        <v>0</v>
      </c>
    </row>
    <row r="1221" spans="1:38" x14ac:dyDescent="0.3">
      <c r="A1221">
        <v>348705</v>
      </c>
      <c r="B1221" t="s">
        <v>38</v>
      </c>
      <c r="C1221" t="s">
        <v>667</v>
      </c>
      <c r="D1221">
        <v>2024</v>
      </c>
      <c r="E1221" t="s">
        <v>122</v>
      </c>
      <c r="F1221" t="s">
        <v>123</v>
      </c>
      <c r="S1221">
        <v>3</v>
      </c>
      <c r="T1221">
        <v>2</v>
      </c>
      <c r="U1221">
        <v>0</v>
      </c>
      <c r="V1221">
        <v>15</v>
      </c>
      <c r="W1221">
        <v>40</v>
      </c>
      <c r="X1221">
        <v>7</v>
      </c>
      <c r="Z1221">
        <v>0</v>
      </c>
    </row>
    <row r="1222" spans="1:38" x14ac:dyDescent="0.3">
      <c r="A1222">
        <v>348709</v>
      </c>
      <c r="B1222" t="s">
        <v>100</v>
      </c>
      <c r="C1222" t="s">
        <v>668</v>
      </c>
      <c r="D1222">
        <v>2023</v>
      </c>
      <c r="E1222" t="s">
        <v>122</v>
      </c>
      <c r="F1222" t="s">
        <v>123</v>
      </c>
      <c r="S1222">
        <v>0</v>
      </c>
      <c r="T1222">
        <v>0</v>
      </c>
      <c r="U1222">
        <v>0</v>
      </c>
      <c r="V1222">
        <v>1</v>
      </c>
      <c r="W1222">
        <v>1</v>
      </c>
      <c r="X1222">
        <v>0</v>
      </c>
      <c r="Z1222">
        <v>0</v>
      </c>
    </row>
    <row r="1223" spans="1:38" x14ac:dyDescent="0.3">
      <c r="A1223">
        <v>348755</v>
      </c>
      <c r="B1223" t="s">
        <v>84</v>
      </c>
      <c r="C1223" t="s">
        <v>669</v>
      </c>
      <c r="D1223">
        <v>2020</v>
      </c>
      <c r="E1223" t="s">
        <v>373</v>
      </c>
      <c r="F1223" t="s">
        <v>374</v>
      </c>
      <c r="S1223">
        <v>0</v>
      </c>
      <c r="T1223">
        <v>0</v>
      </c>
      <c r="U1223">
        <v>0</v>
      </c>
      <c r="V1223">
        <v>3</v>
      </c>
      <c r="W1223">
        <v>10</v>
      </c>
      <c r="X1223">
        <v>0</v>
      </c>
      <c r="Z1223">
        <v>0</v>
      </c>
    </row>
    <row r="1224" spans="1:38" x14ac:dyDescent="0.3">
      <c r="A1224">
        <v>348755</v>
      </c>
      <c r="B1224" t="s">
        <v>84</v>
      </c>
      <c r="C1224" t="s">
        <v>669</v>
      </c>
      <c r="D1224">
        <v>2021</v>
      </c>
      <c r="E1224" t="s">
        <v>373</v>
      </c>
      <c r="F1224" t="s">
        <v>374</v>
      </c>
      <c r="S1224">
        <v>2</v>
      </c>
      <c r="T1224">
        <v>1</v>
      </c>
      <c r="U1224">
        <v>0.5</v>
      </c>
      <c r="V1224">
        <v>45</v>
      </c>
      <c r="W1224">
        <v>95</v>
      </c>
      <c r="X1224">
        <v>9.5</v>
      </c>
      <c r="Y1224">
        <v>4</v>
      </c>
      <c r="Z1224">
        <v>0</v>
      </c>
      <c r="AK1224">
        <v>0</v>
      </c>
      <c r="AL1224">
        <v>0</v>
      </c>
    </row>
    <row r="1225" spans="1:38" x14ac:dyDescent="0.3">
      <c r="A1225">
        <v>348755</v>
      </c>
      <c r="B1225" t="s">
        <v>84</v>
      </c>
      <c r="C1225" t="s">
        <v>669</v>
      </c>
      <c r="D1225">
        <v>2022</v>
      </c>
      <c r="E1225" t="s">
        <v>373</v>
      </c>
      <c r="F1225" t="s">
        <v>374</v>
      </c>
      <c r="S1225">
        <v>1</v>
      </c>
      <c r="T1225">
        <v>1</v>
      </c>
      <c r="U1225">
        <v>1</v>
      </c>
      <c r="V1225">
        <v>29</v>
      </c>
      <c r="W1225">
        <v>55</v>
      </c>
      <c r="X1225">
        <v>5</v>
      </c>
      <c r="Y1225">
        <v>1</v>
      </c>
      <c r="Z1225">
        <v>1</v>
      </c>
      <c r="AK1225">
        <v>0</v>
      </c>
      <c r="AL1225">
        <v>0</v>
      </c>
    </row>
    <row r="1226" spans="1:38" x14ac:dyDescent="0.3">
      <c r="A1226">
        <v>348755</v>
      </c>
      <c r="B1226" t="s">
        <v>84</v>
      </c>
      <c r="C1226" t="s">
        <v>669</v>
      </c>
      <c r="D1226">
        <v>2023</v>
      </c>
      <c r="E1226" t="s">
        <v>373</v>
      </c>
      <c r="F1226" t="s">
        <v>374</v>
      </c>
      <c r="S1226">
        <v>5</v>
      </c>
      <c r="T1226">
        <v>6</v>
      </c>
      <c r="U1226">
        <v>1.5</v>
      </c>
      <c r="V1226">
        <v>42</v>
      </c>
      <c r="W1226">
        <v>80</v>
      </c>
      <c r="X1226">
        <v>11</v>
      </c>
      <c r="Y1226">
        <v>1</v>
      </c>
      <c r="Z1226">
        <v>0</v>
      </c>
      <c r="AK1226">
        <v>1</v>
      </c>
      <c r="AL1226">
        <v>1</v>
      </c>
    </row>
    <row r="1227" spans="1:38" x14ac:dyDescent="0.3">
      <c r="A1227">
        <v>348755</v>
      </c>
      <c r="B1227" t="s">
        <v>84</v>
      </c>
      <c r="C1227" t="s">
        <v>669</v>
      </c>
      <c r="D1227">
        <v>2024</v>
      </c>
      <c r="E1227" t="s">
        <v>139</v>
      </c>
      <c r="F1227" t="s">
        <v>140</v>
      </c>
      <c r="S1227">
        <v>1</v>
      </c>
      <c r="T1227">
        <v>0</v>
      </c>
      <c r="U1227">
        <v>0</v>
      </c>
      <c r="V1227">
        <v>40</v>
      </c>
      <c r="W1227">
        <v>61</v>
      </c>
      <c r="X1227">
        <v>3.5</v>
      </c>
      <c r="Y1227">
        <v>2</v>
      </c>
      <c r="Z1227">
        <v>0</v>
      </c>
    </row>
    <row r="1228" spans="1:38" x14ac:dyDescent="0.3">
      <c r="A1228">
        <v>348991</v>
      </c>
      <c r="B1228" t="s">
        <v>80</v>
      </c>
      <c r="C1228" t="s">
        <v>670</v>
      </c>
      <c r="D1228">
        <v>2020</v>
      </c>
      <c r="E1228" t="s">
        <v>160</v>
      </c>
      <c r="F1228" t="s">
        <v>161</v>
      </c>
      <c r="S1228">
        <v>0</v>
      </c>
      <c r="T1228">
        <v>0</v>
      </c>
      <c r="U1228">
        <v>0</v>
      </c>
      <c r="V1228">
        <v>2</v>
      </c>
      <c r="W1228">
        <v>4</v>
      </c>
      <c r="X1228">
        <v>0</v>
      </c>
      <c r="Z1228">
        <v>0</v>
      </c>
    </row>
    <row r="1229" spans="1:38" x14ac:dyDescent="0.3">
      <c r="A1229">
        <v>348991</v>
      </c>
      <c r="B1229" t="s">
        <v>80</v>
      </c>
      <c r="C1229" t="s">
        <v>670</v>
      </c>
      <c r="D1229">
        <v>2021</v>
      </c>
      <c r="E1229" t="s">
        <v>160</v>
      </c>
      <c r="F1229" t="s">
        <v>161</v>
      </c>
      <c r="S1229">
        <v>0</v>
      </c>
      <c r="T1229">
        <v>1</v>
      </c>
      <c r="U1229">
        <v>0.5</v>
      </c>
      <c r="V1229">
        <v>3</v>
      </c>
      <c r="W1229">
        <v>8</v>
      </c>
      <c r="X1229">
        <v>0.5</v>
      </c>
      <c r="Z1229">
        <v>0</v>
      </c>
    </row>
    <row r="1230" spans="1:38" x14ac:dyDescent="0.3">
      <c r="A1230">
        <v>348991</v>
      </c>
      <c r="B1230" t="s">
        <v>80</v>
      </c>
      <c r="C1230" t="s">
        <v>670</v>
      </c>
      <c r="D1230">
        <v>2022</v>
      </c>
      <c r="E1230" t="s">
        <v>160</v>
      </c>
      <c r="F1230" t="s">
        <v>161</v>
      </c>
      <c r="S1230">
        <v>0</v>
      </c>
      <c r="T1230">
        <v>0</v>
      </c>
      <c r="U1230">
        <v>0</v>
      </c>
      <c r="V1230">
        <v>6</v>
      </c>
      <c r="W1230">
        <v>9</v>
      </c>
      <c r="X1230">
        <v>1</v>
      </c>
      <c r="Z1230">
        <v>0</v>
      </c>
    </row>
    <row r="1231" spans="1:38" x14ac:dyDescent="0.3">
      <c r="A1231">
        <v>348991</v>
      </c>
      <c r="B1231" t="s">
        <v>80</v>
      </c>
      <c r="C1231" t="s">
        <v>670</v>
      </c>
      <c r="D1231">
        <v>2023</v>
      </c>
      <c r="E1231" t="s">
        <v>74</v>
      </c>
      <c r="F1231" t="s">
        <v>75</v>
      </c>
      <c r="S1231">
        <v>2</v>
      </c>
      <c r="T1231">
        <v>7</v>
      </c>
      <c r="U1231">
        <v>8.5</v>
      </c>
      <c r="V1231">
        <v>21</v>
      </c>
      <c r="W1231">
        <v>37</v>
      </c>
      <c r="X1231">
        <v>12.5</v>
      </c>
      <c r="Z1231">
        <v>0</v>
      </c>
    </row>
    <row r="1232" spans="1:38" x14ac:dyDescent="0.3">
      <c r="A1232">
        <v>348991</v>
      </c>
      <c r="B1232" t="s">
        <v>80</v>
      </c>
      <c r="C1232" t="s">
        <v>670</v>
      </c>
      <c r="D1232">
        <v>2024</v>
      </c>
      <c r="E1232" t="s">
        <v>74</v>
      </c>
      <c r="F1232" t="s">
        <v>75</v>
      </c>
      <c r="S1232">
        <v>1</v>
      </c>
      <c r="T1232">
        <v>10</v>
      </c>
      <c r="U1232">
        <v>6.5</v>
      </c>
      <c r="V1232">
        <v>15</v>
      </c>
      <c r="W1232">
        <v>32</v>
      </c>
      <c r="X1232">
        <v>10</v>
      </c>
      <c r="Z1232">
        <v>0</v>
      </c>
      <c r="AK1232">
        <v>0</v>
      </c>
      <c r="AL1232">
        <v>0</v>
      </c>
    </row>
    <row r="1233" spans="1:38" x14ac:dyDescent="0.3">
      <c r="A1233">
        <v>349011</v>
      </c>
      <c r="B1233" t="s">
        <v>38</v>
      </c>
      <c r="C1233" t="s">
        <v>671</v>
      </c>
      <c r="D1233">
        <v>2020</v>
      </c>
      <c r="E1233" t="s">
        <v>228</v>
      </c>
      <c r="F1233" t="s">
        <v>229</v>
      </c>
      <c r="S1233">
        <v>2</v>
      </c>
      <c r="T1233">
        <v>1</v>
      </c>
      <c r="U1233">
        <v>0</v>
      </c>
      <c r="V1233">
        <v>11</v>
      </c>
      <c r="W1233">
        <v>16</v>
      </c>
      <c r="X1233">
        <v>1</v>
      </c>
      <c r="Z1233">
        <v>0</v>
      </c>
    </row>
    <row r="1234" spans="1:38" x14ac:dyDescent="0.3">
      <c r="A1234">
        <v>349011</v>
      </c>
      <c r="B1234" t="s">
        <v>38</v>
      </c>
      <c r="C1234" t="s">
        <v>671</v>
      </c>
      <c r="D1234">
        <v>2021</v>
      </c>
      <c r="E1234" t="s">
        <v>228</v>
      </c>
      <c r="F1234" t="s">
        <v>229</v>
      </c>
      <c r="S1234">
        <v>0</v>
      </c>
      <c r="T1234">
        <v>0</v>
      </c>
      <c r="U1234">
        <v>0</v>
      </c>
      <c r="V1234">
        <v>4</v>
      </c>
      <c r="W1234">
        <v>6</v>
      </c>
      <c r="X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</row>
    <row r="1235" spans="1:38" x14ac:dyDescent="0.3">
      <c r="A1235">
        <v>349011</v>
      </c>
      <c r="B1235" t="s">
        <v>38</v>
      </c>
      <c r="C1235" t="s">
        <v>671</v>
      </c>
      <c r="D1235">
        <v>2022</v>
      </c>
      <c r="E1235" t="s">
        <v>228</v>
      </c>
      <c r="F1235" t="s">
        <v>229</v>
      </c>
      <c r="P1235">
        <v>1</v>
      </c>
      <c r="Q1235">
        <v>0</v>
      </c>
      <c r="R1235">
        <v>16</v>
      </c>
      <c r="S1235">
        <v>1</v>
      </c>
      <c r="T1235">
        <v>4</v>
      </c>
      <c r="U1235">
        <v>4</v>
      </c>
      <c r="V1235">
        <v>17</v>
      </c>
      <c r="W1235">
        <v>29</v>
      </c>
      <c r="X1235">
        <v>7</v>
      </c>
      <c r="Z1235">
        <v>0</v>
      </c>
      <c r="AK1235">
        <v>0</v>
      </c>
      <c r="AL1235">
        <v>0</v>
      </c>
    </row>
    <row r="1236" spans="1:38" x14ac:dyDescent="0.3">
      <c r="A1236">
        <v>349011</v>
      </c>
      <c r="B1236" t="s">
        <v>38</v>
      </c>
      <c r="C1236" t="s">
        <v>671</v>
      </c>
      <c r="D1236">
        <v>2023</v>
      </c>
      <c r="E1236" t="s">
        <v>228</v>
      </c>
      <c r="F1236" t="s">
        <v>229</v>
      </c>
      <c r="M1236">
        <v>1</v>
      </c>
      <c r="N1236">
        <v>2</v>
      </c>
      <c r="O1236">
        <v>1</v>
      </c>
      <c r="S1236">
        <v>7</v>
      </c>
      <c r="T1236">
        <v>6</v>
      </c>
      <c r="U1236">
        <v>1.5</v>
      </c>
      <c r="V1236">
        <v>19</v>
      </c>
      <c r="W1236">
        <v>32</v>
      </c>
      <c r="X1236">
        <v>4.5</v>
      </c>
      <c r="Z1236">
        <v>0</v>
      </c>
      <c r="AK1236">
        <v>0</v>
      </c>
      <c r="AL1236">
        <v>0</v>
      </c>
    </row>
    <row r="1237" spans="1:38" x14ac:dyDescent="0.3">
      <c r="A1237">
        <v>349011</v>
      </c>
      <c r="B1237" t="s">
        <v>38</v>
      </c>
      <c r="C1237" t="s">
        <v>671</v>
      </c>
      <c r="D1237">
        <v>2024</v>
      </c>
      <c r="E1237" t="s">
        <v>228</v>
      </c>
      <c r="F1237" t="s">
        <v>229</v>
      </c>
      <c r="S1237">
        <v>1</v>
      </c>
      <c r="T1237">
        <v>6</v>
      </c>
      <c r="U1237">
        <v>4</v>
      </c>
      <c r="V1237">
        <v>17</v>
      </c>
      <c r="W1237">
        <v>25</v>
      </c>
      <c r="X1237">
        <v>4</v>
      </c>
      <c r="Z1237">
        <v>0</v>
      </c>
      <c r="AK1237">
        <v>0</v>
      </c>
      <c r="AL1237">
        <v>0</v>
      </c>
    </row>
    <row r="1238" spans="1:38" x14ac:dyDescent="0.3">
      <c r="A1238">
        <v>349029</v>
      </c>
      <c r="B1238" t="s">
        <v>69</v>
      </c>
      <c r="C1238" t="s">
        <v>672</v>
      </c>
      <c r="D1238">
        <v>2020</v>
      </c>
      <c r="E1238" t="s">
        <v>171</v>
      </c>
      <c r="F1238" t="s">
        <v>172</v>
      </c>
      <c r="S1238">
        <v>0</v>
      </c>
      <c r="T1238">
        <v>0</v>
      </c>
      <c r="U1238">
        <v>1</v>
      </c>
      <c r="V1238">
        <v>13</v>
      </c>
      <c r="W1238">
        <v>21</v>
      </c>
      <c r="X1238">
        <v>3</v>
      </c>
      <c r="Z1238">
        <v>0</v>
      </c>
    </row>
    <row r="1239" spans="1:38" x14ac:dyDescent="0.3">
      <c r="A1239">
        <v>349029</v>
      </c>
      <c r="B1239" t="s">
        <v>69</v>
      </c>
      <c r="C1239" t="s">
        <v>672</v>
      </c>
      <c r="D1239">
        <v>2021</v>
      </c>
      <c r="E1239" t="s">
        <v>171</v>
      </c>
      <c r="F1239" t="s">
        <v>172</v>
      </c>
      <c r="S1239">
        <v>2</v>
      </c>
      <c r="T1239">
        <v>2</v>
      </c>
      <c r="U1239">
        <v>4</v>
      </c>
      <c r="V1239">
        <v>8</v>
      </c>
      <c r="W1239">
        <v>30</v>
      </c>
      <c r="X1239">
        <v>7</v>
      </c>
      <c r="Z1239">
        <v>0</v>
      </c>
    </row>
    <row r="1240" spans="1:38" x14ac:dyDescent="0.3">
      <c r="A1240">
        <v>349029</v>
      </c>
      <c r="B1240" t="s">
        <v>69</v>
      </c>
      <c r="C1240" t="s">
        <v>672</v>
      </c>
      <c r="D1240">
        <v>2022</v>
      </c>
      <c r="E1240" t="s">
        <v>171</v>
      </c>
      <c r="F1240" t="s">
        <v>172</v>
      </c>
      <c r="S1240">
        <v>0</v>
      </c>
      <c r="T1240">
        <v>5</v>
      </c>
      <c r="U1240">
        <v>2.5</v>
      </c>
      <c r="V1240">
        <v>10</v>
      </c>
      <c r="W1240">
        <v>19</v>
      </c>
      <c r="X1240">
        <v>6.5</v>
      </c>
      <c r="Z1240">
        <v>0</v>
      </c>
    </row>
    <row r="1241" spans="1:38" x14ac:dyDescent="0.3">
      <c r="A1241">
        <v>349029</v>
      </c>
      <c r="B1241" t="s">
        <v>69</v>
      </c>
      <c r="C1241" t="s">
        <v>672</v>
      </c>
      <c r="D1241">
        <v>2023</v>
      </c>
      <c r="E1241" t="s">
        <v>171</v>
      </c>
      <c r="F1241" t="s">
        <v>172</v>
      </c>
      <c r="S1241">
        <v>2</v>
      </c>
      <c r="T1241">
        <v>5</v>
      </c>
      <c r="U1241">
        <v>6</v>
      </c>
      <c r="V1241">
        <v>16</v>
      </c>
      <c r="W1241">
        <v>28</v>
      </c>
      <c r="X1241">
        <v>10.5</v>
      </c>
      <c r="Z1241">
        <v>0</v>
      </c>
      <c r="AK1241">
        <v>0</v>
      </c>
      <c r="AL1241">
        <v>0</v>
      </c>
    </row>
    <row r="1242" spans="1:38" x14ac:dyDescent="0.3">
      <c r="A1242">
        <v>349029</v>
      </c>
      <c r="B1242" t="s">
        <v>69</v>
      </c>
      <c r="C1242" t="s">
        <v>672</v>
      </c>
      <c r="D1242">
        <v>2024</v>
      </c>
      <c r="E1242" t="s">
        <v>160</v>
      </c>
      <c r="F1242" t="s">
        <v>161</v>
      </c>
      <c r="S1242">
        <v>0</v>
      </c>
      <c r="T1242">
        <v>6</v>
      </c>
      <c r="U1242">
        <v>5.5</v>
      </c>
      <c r="V1242">
        <v>18</v>
      </c>
      <c r="W1242">
        <v>38</v>
      </c>
      <c r="X1242">
        <v>11</v>
      </c>
      <c r="Z1242">
        <v>0</v>
      </c>
    </row>
    <row r="1243" spans="1:38" x14ac:dyDescent="0.3">
      <c r="A1243">
        <v>349064</v>
      </c>
      <c r="B1243" t="s">
        <v>100</v>
      </c>
      <c r="C1243" t="s">
        <v>673</v>
      </c>
      <c r="D1243">
        <v>2022</v>
      </c>
      <c r="E1243" t="s">
        <v>122</v>
      </c>
      <c r="F1243" t="s">
        <v>123</v>
      </c>
      <c r="P1243">
        <v>1</v>
      </c>
      <c r="Q1243">
        <v>0</v>
      </c>
      <c r="R1243">
        <v>-1</v>
      </c>
      <c r="S1243">
        <v>0</v>
      </c>
      <c r="T1243">
        <v>0</v>
      </c>
      <c r="U1243">
        <v>0</v>
      </c>
      <c r="V1243">
        <v>1</v>
      </c>
      <c r="W1243">
        <v>1</v>
      </c>
      <c r="X1243">
        <v>0</v>
      </c>
      <c r="Z1243">
        <v>0</v>
      </c>
    </row>
    <row r="1244" spans="1:38" x14ac:dyDescent="0.3">
      <c r="A1244">
        <v>349069</v>
      </c>
      <c r="B1244" t="s">
        <v>38</v>
      </c>
      <c r="C1244" t="s">
        <v>674</v>
      </c>
      <c r="D1244">
        <v>2020</v>
      </c>
      <c r="E1244" t="s">
        <v>173</v>
      </c>
      <c r="F1244" t="s">
        <v>174</v>
      </c>
      <c r="S1244">
        <v>0</v>
      </c>
      <c r="T1244">
        <v>0</v>
      </c>
      <c r="U1244">
        <v>0</v>
      </c>
      <c r="V1244">
        <v>1</v>
      </c>
      <c r="W1244">
        <v>3</v>
      </c>
      <c r="X1244">
        <v>0</v>
      </c>
      <c r="Z1244">
        <v>0</v>
      </c>
    </row>
    <row r="1245" spans="1:38" x14ac:dyDescent="0.3">
      <c r="A1245">
        <v>349069</v>
      </c>
      <c r="B1245" t="s">
        <v>38</v>
      </c>
      <c r="C1245" t="s">
        <v>674</v>
      </c>
      <c r="D1245">
        <v>2021</v>
      </c>
      <c r="E1245" t="s">
        <v>173</v>
      </c>
      <c r="F1245" t="s">
        <v>174</v>
      </c>
      <c r="S1245">
        <v>0</v>
      </c>
      <c r="T1245">
        <v>1</v>
      </c>
      <c r="U1245">
        <v>1</v>
      </c>
      <c r="V1245">
        <v>3</v>
      </c>
      <c r="W1245">
        <v>8</v>
      </c>
      <c r="X1245">
        <v>2</v>
      </c>
      <c r="Z1245">
        <v>0</v>
      </c>
    </row>
    <row r="1246" spans="1:38" x14ac:dyDescent="0.3">
      <c r="A1246">
        <v>349069</v>
      </c>
      <c r="B1246" t="s">
        <v>38</v>
      </c>
      <c r="C1246" t="s">
        <v>674</v>
      </c>
      <c r="D1246">
        <v>2022</v>
      </c>
      <c r="E1246" t="s">
        <v>173</v>
      </c>
      <c r="F1246" t="s">
        <v>174</v>
      </c>
      <c r="S1246">
        <v>0</v>
      </c>
      <c r="T1246">
        <v>0</v>
      </c>
      <c r="U1246">
        <v>1</v>
      </c>
      <c r="V1246">
        <v>6</v>
      </c>
      <c r="W1246">
        <v>11</v>
      </c>
      <c r="X1246">
        <v>3</v>
      </c>
      <c r="Z1246">
        <v>0</v>
      </c>
      <c r="AK1246">
        <v>0</v>
      </c>
      <c r="AL1246">
        <v>0</v>
      </c>
    </row>
    <row r="1247" spans="1:38" x14ac:dyDescent="0.3">
      <c r="A1247">
        <v>349069</v>
      </c>
      <c r="B1247" t="s">
        <v>38</v>
      </c>
      <c r="C1247" t="s">
        <v>674</v>
      </c>
      <c r="D1247">
        <v>2023</v>
      </c>
      <c r="E1247" t="s">
        <v>173</v>
      </c>
      <c r="F1247" t="s">
        <v>174</v>
      </c>
      <c r="S1247">
        <v>1</v>
      </c>
      <c r="T1247">
        <v>2</v>
      </c>
      <c r="U1247">
        <v>2</v>
      </c>
      <c r="V1247">
        <v>15</v>
      </c>
      <c r="W1247">
        <v>21</v>
      </c>
      <c r="X1247">
        <v>3</v>
      </c>
      <c r="Z1247">
        <v>0</v>
      </c>
    </row>
    <row r="1248" spans="1:38" x14ac:dyDescent="0.3">
      <c r="A1248">
        <v>349069</v>
      </c>
      <c r="B1248" t="s">
        <v>38</v>
      </c>
      <c r="C1248" t="s">
        <v>674</v>
      </c>
      <c r="D1248">
        <v>2024</v>
      </c>
      <c r="E1248" t="s">
        <v>173</v>
      </c>
      <c r="F1248" t="s">
        <v>174</v>
      </c>
      <c r="S1248">
        <v>0</v>
      </c>
      <c r="T1248">
        <v>2</v>
      </c>
      <c r="U1248">
        <v>2</v>
      </c>
      <c r="V1248">
        <v>20</v>
      </c>
      <c r="W1248">
        <v>26</v>
      </c>
      <c r="X1248">
        <v>6</v>
      </c>
      <c r="Z1248">
        <v>0</v>
      </c>
    </row>
    <row r="1249" spans="1:38" x14ac:dyDescent="0.3">
      <c r="A1249">
        <v>349077</v>
      </c>
      <c r="B1249" t="s">
        <v>50</v>
      </c>
      <c r="C1249" t="s">
        <v>675</v>
      </c>
      <c r="D1249">
        <v>2020</v>
      </c>
      <c r="E1249" t="s">
        <v>173</v>
      </c>
      <c r="F1249" t="s">
        <v>174</v>
      </c>
      <c r="S1249">
        <v>0</v>
      </c>
      <c r="T1249">
        <v>0</v>
      </c>
      <c r="U1249">
        <v>0</v>
      </c>
      <c r="V1249">
        <v>2</v>
      </c>
      <c r="W1249">
        <v>2</v>
      </c>
      <c r="X1249">
        <v>0</v>
      </c>
      <c r="Z1249">
        <v>0</v>
      </c>
    </row>
    <row r="1250" spans="1:38" x14ac:dyDescent="0.3">
      <c r="A1250">
        <v>349077</v>
      </c>
      <c r="B1250" t="s">
        <v>50</v>
      </c>
      <c r="C1250" t="s">
        <v>675</v>
      </c>
      <c r="D1250">
        <v>2021</v>
      </c>
      <c r="E1250" t="s">
        <v>173</v>
      </c>
      <c r="F1250" t="s">
        <v>174</v>
      </c>
      <c r="S1250">
        <v>0</v>
      </c>
      <c r="T1250">
        <v>0</v>
      </c>
      <c r="U1250">
        <v>0</v>
      </c>
      <c r="V1250">
        <v>1</v>
      </c>
      <c r="W1250">
        <v>1</v>
      </c>
      <c r="X1250">
        <v>0</v>
      </c>
      <c r="Z1250">
        <v>0</v>
      </c>
    </row>
    <row r="1251" spans="1:38" x14ac:dyDescent="0.3">
      <c r="A1251">
        <v>349077</v>
      </c>
      <c r="B1251" t="s">
        <v>50</v>
      </c>
      <c r="C1251" t="s">
        <v>675</v>
      </c>
      <c r="D1251">
        <v>2022</v>
      </c>
      <c r="E1251" t="s">
        <v>148</v>
      </c>
      <c r="F1251" t="s">
        <v>149</v>
      </c>
      <c r="S1251">
        <v>1</v>
      </c>
      <c r="T1251">
        <v>0</v>
      </c>
      <c r="U1251">
        <v>0</v>
      </c>
      <c r="V1251">
        <v>8</v>
      </c>
      <c r="W1251">
        <v>13</v>
      </c>
      <c r="X1251">
        <v>0</v>
      </c>
      <c r="Y1251">
        <v>1</v>
      </c>
      <c r="Z1251">
        <v>1</v>
      </c>
    </row>
    <row r="1252" spans="1:38" x14ac:dyDescent="0.3">
      <c r="A1252">
        <v>349077</v>
      </c>
      <c r="B1252" t="s">
        <v>50</v>
      </c>
      <c r="C1252" t="s">
        <v>675</v>
      </c>
      <c r="D1252">
        <v>2023</v>
      </c>
      <c r="E1252" t="s">
        <v>148</v>
      </c>
      <c r="F1252" t="s">
        <v>149</v>
      </c>
      <c r="S1252">
        <v>5</v>
      </c>
      <c r="T1252">
        <v>1</v>
      </c>
      <c r="U1252">
        <v>0</v>
      </c>
      <c r="V1252">
        <v>18</v>
      </c>
      <c r="W1252">
        <v>23</v>
      </c>
      <c r="X1252">
        <v>0</v>
      </c>
      <c r="Z1252">
        <v>0</v>
      </c>
      <c r="AK1252">
        <v>0</v>
      </c>
      <c r="AL1252">
        <v>0</v>
      </c>
    </row>
    <row r="1253" spans="1:38" x14ac:dyDescent="0.3">
      <c r="A1253">
        <v>349077</v>
      </c>
      <c r="B1253" t="s">
        <v>50</v>
      </c>
      <c r="C1253" t="s">
        <v>675</v>
      </c>
      <c r="D1253">
        <v>2024</v>
      </c>
      <c r="E1253" t="s">
        <v>67</v>
      </c>
      <c r="F1253" t="s">
        <v>68</v>
      </c>
      <c r="S1253">
        <v>2</v>
      </c>
      <c r="T1253">
        <v>0</v>
      </c>
      <c r="U1253">
        <v>0</v>
      </c>
      <c r="V1253">
        <v>20</v>
      </c>
      <c r="W1253">
        <v>31</v>
      </c>
      <c r="X1253">
        <v>1</v>
      </c>
      <c r="Z1253">
        <v>0</v>
      </c>
    </row>
    <row r="1254" spans="1:38" x14ac:dyDescent="0.3">
      <c r="A1254">
        <v>349089</v>
      </c>
      <c r="B1254" t="s">
        <v>38</v>
      </c>
      <c r="C1254" t="s">
        <v>676</v>
      </c>
      <c r="D1254">
        <v>2020</v>
      </c>
      <c r="E1254" t="s">
        <v>173</v>
      </c>
      <c r="F1254" t="s">
        <v>174</v>
      </c>
      <c r="S1254">
        <v>0</v>
      </c>
      <c r="T1254">
        <v>0</v>
      </c>
      <c r="U1254">
        <v>0</v>
      </c>
      <c r="V1254">
        <v>1</v>
      </c>
      <c r="W1254">
        <v>1</v>
      </c>
      <c r="X1254">
        <v>0</v>
      </c>
      <c r="Z1254">
        <v>0</v>
      </c>
    </row>
    <row r="1255" spans="1:38" x14ac:dyDescent="0.3">
      <c r="A1255">
        <v>349089</v>
      </c>
      <c r="B1255" t="s">
        <v>38</v>
      </c>
      <c r="C1255" t="s">
        <v>676</v>
      </c>
      <c r="D1255">
        <v>2021</v>
      </c>
      <c r="E1255" t="s">
        <v>173</v>
      </c>
      <c r="F1255" t="s">
        <v>174</v>
      </c>
      <c r="S1255">
        <v>2</v>
      </c>
      <c r="T1255">
        <v>1</v>
      </c>
      <c r="U1255">
        <v>0</v>
      </c>
      <c r="V1255">
        <v>6</v>
      </c>
      <c r="W1255">
        <v>14</v>
      </c>
      <c r="X1255">
        <v>0</v>
      </c>
      <c r="Z1255">
        <v>0</v>
      </c>
    </row>
    <row r="1256" spans="1:38" x14ac:dyDescent="0.3">
      <c r="A1256">
        <v>349089</v>
      </c>
      <c r="B1256" t="s">
        <v>38</v>
      </c>
      <c r="C1256" t="s">
        <v>676</v>
      </c>
      <c r="D1256">
        <v>2022</v>
      </c>
      <c r="E1256" t="s">
        <v>173</v>
      </c>
      <c r="F1256" t="s">
        <v>174</v>
      </c>
      <c r="S1256">
        <v>0</v>
      </c>
      <c r="T1256">
        <v>1</v>
      </c>
      <c r="U1256">
        <v>1</v>
      </c>
      <c r="V1256">
        <v>11</v>
      </c>
      <c r="W1256">
        <v>17</v>
      </c>
      <c r="X1256">
        <v>1</v>
      </c>
      <c r="Z1256">
        <v>0</v>
      </c>
    </row>
    <row r="1257" spans="1:38" x14ac:dyDescent="0.3">
      <c r="A1257">
        <v>349089</v>
      </c>
      <c r="B1257" t="s">
        <v>38</v>
      </c>
      <c r="C1257" t="s">
        <v>676</v>
      </c>
      <c r="D1257">
        <v>2023</v>
      </c>
      <c r="E1257" t="s">
        <v>173</v>
      </c>
      <c r="F1257" t="s">
        <v>174</v>
      </c>
      <c r="S1257">
        <v>0</v>
      </c>
      <c r="T1257">
        <v>0</v>
      </c>
      <c r="U1257">
        <v>1</v>
      </c>
      <c r="V1257">
        <v>8</v>
      </c>
      <c r="W1257">
        <v>11</v>
      </c>
      <c r="X1257">
        <v>1</v>
      </c>
      <c r="Z1257">
        <v>0</v>
      </c>
    </row>
    <row r="1258" spans="1:38" x14ac:dyDescent="0.3">
      <c r="A1258">
        <v>349098</v>
      </c>
      <c r="B1258" t="s">
        <v>42</v>
      </c>
      <c r="C1258" t="s">
        <v>677</v>
      </c>
      <c r="D1258">
        <v>2020</v>
      </c>
      <c r="E1258" t="s">
        <v>355</v>
      </c>
      <c r="F1258" t="s">
        <v>356</v>
      </c>
      <c r="S1258">
        <v>0</v>
      </c>
      <c r="T1258">
        <v>1</v>
      </c>
      <c r="U1258">
        <v>0</v>
      </c>
      <c r="V1258">
        <v>0</v>
      </c>
      <c r="W1258">
        <v>3</v>
      </c>
      <c r="X1258">
        <v>0</v>
      </c>
      <c r="Z1258">
        <v>0</v>
      </c>
    </row>
    <row r="1259" spans="1:38" x14ac:dyDescent="0.3">
      <c r="A1259">
        <v>349098</v>
      </c>
      <c r="B1259" t="s">
        <v>42</v>
      </c>
      <c r="C1259" t="s">
        <v>677</v>
      </c>
      <c r="D1259">
        <v>2022</v>
      </c>
      <c r="E1259" t="s">
        <v>618</v>
      </c>
      <c r="F1259" t="s">
        <v>619</v>
      </c>
      <c r="S1259">
        <v>0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1</v>
      </c>
      <c r="Z1259">
        <v>0</v>
      </c>
    </row>
    <row r="1260" spans="1:38" x14ac:dyDescent="0.3">
      <c r="A1260">
        <v>349098</v>
      </c>
      <c r="B1260" t="s">
        <v>42</v>
      </c>
      <c r="C1260" t="s">
        <v>677</v>
      </c>
      <c r="D1260">
        <v>2023</v>
      </c>
      <c r="E1260" t="s">
        <v>618</v>
      </c>
      <c r="F1260" t="s">
        <v>619</v>
      </c>
      <c r="S1260">
        <v>0</v>
      </c>
      <c r="T1260">
        <v>0</v>
      </c>
      <c r="U1260">
        <v>0</v>
      </c>
      <c r="V1260">
        <v>3</v>
      </c>
      <c r="W1260">
        <v>10</v>
      </c>
      <c r="X1260">
        <v>0</v>
      </c>
      <c r="Y1260">
        <v>2</v>
      </c>
      <c r="Z1260">
        <v>0</v>
      </c>
      <c r="AK1260">
        <v>0</v>
      </c>
      <c r="AL1260">
        <v>0</v>
      </c>
    </row>
    <row r="1261" spans="1:38" x14ac:dyDescent="0.3">
      <c r="A1261">
        <v>349098</v>
      </c>
      <c r="B1261" t="s">
        <v>42</v>
      </c>
      <c r="C1261" t="s">
        <v>677</v>
      </c>
      <c r="D1261">
        <v>2024</v>
      </c>
      <c r="E1261" t="s">
        <v>618</v>
      </c>
      <c r="F1261" t="s">
        <v>619</v>
      </c>
      <c r="S1261">
        <v>0</v>
      </c>
      <c r="T1261">
        <v>0</v>
      </c>
      <c r="U1261">
        <v>0</v>
      </c>
      <c r="V1261">
        <v>6</v>
      </c>
      <c r="W1261">
        <v>8</v>
      </c>
      <c r="X1261">
        <v>0</v>
      </c>
      <c r="Y1261">
        <v>3</v>
      </c>
      <c r="Z1261">
        <v>0</v>
      </c>
      <c r="AK1261">
        <v>1</v>
      </c>
      <c r="AL1261">
        <v>0</v>
      </c>
    </row>
    <row r="1262" spans="1:38" x14ac:dyDescent="0.3">
      <c r="A1262">
        <v>349223</v>
      </c>
      <c r="B1262" t="s">
        <v>42</v>
      </c>
      <c r="C1262" t="s">
        <v>678</v>
      </c>
      <c r="D1262">
        <v>2020</v>
      </c>
      <c r="E1262" t="s">
        <v>58</v>
      </c>
      <c r="F1262" t="s">
        <v>59</v>
      </c>
      <c r="S1262">
        <v>0</v>
      </c>
      <c r="T1262">
        <v>0</v>
      </c>
      <c r="U1262">
        <v>0</v>
      </c>
      <c r="V1262">
        <v>6</v>
      </c>
      <c r="W1262">
        <v>8</v>
      </c>
      <c r="X1262">
        <v>0</v>
      </c>
      <c r="Z1262">
        <v>0</v>
      </c>
    </row>
    <row r="1263" spans="1:38" x14ac:dyDescent="0.3">
      <c r="A1263">
        <v>349223</v>
      </c>
      <c r="B1263" t="s">
        <v>42</v>
      </c>
      <c r="C1263" t="s">
        <v>678</v>
      </c>
      <c r="D1263">
        <v>2021</v>
      </c>
      <c r="E1263" t="s">
        <v>58</v>
      </c>
      <c r="F1263" t="s">
        <v>59</v>
      </c>
      <c r="S1263">
        <v>0</v>
      </c>
      <c r="T1263">
        <v>2</v>
      </c>
      <c r="U1263">
        <v>0</v>
      </c>
      <c r="V1263">
        <v>54</v>
      </c>
      <c r="W1263">
        <v>67</v>
      </c>
      <c r="X1263">
        <v>3</v>
      </c>
      <c r="Y1263">
        <v>4</v>
      </c>
      <c r="Z1263">
        <v>0</v>
      </c>
      <c r="AA1263">
        <v>5.5</v>
      </c>
      <c r="AB1263">
        <v>11</v>
      </c>
      <c r="AC1263">
        <v>2</v>
      </c>
      <c r="AD1263">
        <v>0</v>
      </c>
      <c r="AE1263">
        <v>11</v>
      </c>
    </row>
    <row r="1264" spans="1:38" x14ac:dyDescent="0.3">
      <c r="A1264">
        <v>349223</v>
      </c>
      <c r="B1264" t="s">
        <v>42</v>
      </c>
      <c r="C1264" t="s">
        <v>678</v>
      </c>
      <c r="D1264">
        <v>2022</v>
      </c>
      <c r="E1264" t="s">
        <v>58</v>
      </c>
      <c r="F1264" t="s">
        <v>59</v>
      </c>
      <c r="S1264">
        <v>4</v>
      </c>
      <c r="T1264">
        <v>0</v>
      </c>
      <c r="U1264">
        <v>1</v>
      </c>
      <c r="V1264">
        <v>55</v>
      </c>
      <c r="W1264">
        <v>72</v>
      </c>
      <c r="X1264">
        <v>4</v>
      </c>
      <c r="Y1264">
        <v>3</v>
      </c>
      <c r="Z1264">
        <v>0</v>
      </c>
    </row>
    <row r="1265" spans="1:38" x14ac:dyDescent="0.3">
      <c r="A1265">
        <v>349223</v>
      </c>
      <c r="B1265" t="s">
        <v>42</v>
      </c>
      <c r="C1265" t="s">
        <v>678</v>
      </c>
      <c r="D1265">
        <v>2023</v>
      </c>
      <c r="E1265" t="s">
        <v>58</v>
      </c>
      <c r="F1265" t="s">
        <v>59</v>
      </c>
      <c r="S1265">
        <v>4</v>
      </c>
      <c r="T1265">
        <v>2</v>
      </c>
      <c r="U1265">
        <v>2</v>
      </c>
      <c r="V1265">
        <v>38</v>
      </c>
      <c r="W1265">
        <v>64</v>
      </c>
      <c r="X1265">
        <v>4.5</v>
      </c>
      <c r="Y1265">
        <v>2</v>
      </c>
      <c r="Z1265">
        <v>0</v>
      </c>
      <c r="AK1265">
        <v>0</v>
      </c>
      <c r="AL1265">
        <v>0</v>
      </c>
    </row>
    <row r="1266" spans="1:38" x14ac:dyDescent="0.3">
      <c r="A1266">
        <v>349235</v>
      </c>
      <c r="B1266" t="s">
        <v>142</v>
      </c>
      <c r="C1266" t="s">
        <v>679</v>
      </c>
      <c r="D1266">
        <v>2020</v>
      </c>
      <c r="E1266" t="s">
        <v>168</v>
      </c>
      <c r="F1266" t="s">
        <v>169</v>
      </c>
      <c r="P1266">
        <v>9</v>
      </c>
      <c r="Q1266">
        <v>0</v>
      </c>
      <c r="R1266">
        <v>98</v>
      </c>
    </row>
    <row r="1267" spans="1:38" x14ac:dyDescent="0.3">
      <c r="A1267">
        <v>349235</v>
      </c>
      <c r="B1267" t="s">
        <v>142</v>
      </c>
      <c r="C1267" t="s">
        <v>679</v>
      </c>
      <c r="D1267">
        <v>2021</v>
      </c>
      <c r="E1267" t="s">
        <v>168</v>
      </c>
      <c r="F1267" t="s">
        <v>169</v>
      </c>
      <c r="P1267">
        <v>16</v>
      </c>
      <c r="Q1267">
        <v>1</v>
      </c>
      <c r="R1267">
        <v>247</v>
      </c>
      <c r="AK1267">
        <v>1</v>
      </c>
      <c r="AL1267">
        <v>1</v>
      </c>
    </row>
    <row r="1268" spans="1:38" x14ac:dyDescent="0.3">
      <c r="A1268">
        <v>349235</v>
      </c>
      <c r="B1268" t="s">
        <v>142</v>
      </c>
      <c r="C1268" t="s">
        <v>679</v>
      </c>
      <c r="D1268">
        <v>2022</v>
      </c>
      <c r="E1268" t="s">
        <v>168</v>
      </c>
      <c r="F1268" t="s">
        <v>169</v>
      </c>
      <c r="P1268">
        <v>28</v>
      </c>
      <c r="Q1268">
        <v>3</v>
      </c>
      <c r="R1268">
        <v>426</v>
      </c>
    </row>
    <row r="1269" spans="1:38" x14ac:dyDescent="0.3">
      <c r="A1269">
        <v>349235</v>
      </c>
      <c r="B1269" t="s">
        <v>142</v>
      </c>
      <c r="C1269" t="s">
        <v>679</v>
      </c>
      <c r="D1269">
        <v>2023</v>
      </c>
      <c r="E1269" t="s">
        <v>61</v>
      </c>
      <c r="F1269" t="s">
        <v>62</v>
      </c>
      <c r="P1269">
        <v>38</v>
      </c>
      <c r="Q1269">
        <v>6</v>
      </c>
      <c r="R1269">
        <v>394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Z1269">
        <v>0</v>
      </c>
    </row>
    <row r="1270" spans="1:38" x14ac:dyDescent="0.3">
      <c r="A1270">
        <v>349235</v>
      </c>
      <c r="B1270" t="s">
        <v>142</v>
      </c>
      <c r="C1270" t="s">
        <v>679</v>
      </c>
      <c r="D1270">
        <v>2024</v>
      </c>
      <c r="E1270" t="s">
        <v>61</v>
      </c>
      <c r="F1270" t="s">
        <v>62</v>
      </c>
      <c r="P1270">
        <v>31</v>
      </c>
      <c r="Q1270">
        <v>2</v>
      </c>
      <c r="R1270">
        <v>372</v>
      </c>
      <c r="S1270">
        <v>0</v>
      </c>
      <c r="T1270">
        <v>0</v>
      </c>
      <c r="U1270">
        <v>0</v>
      </c>
      <c r="V1270">
        <v>1</v>
      </c>
      <c r="W1270">
        <v>1</v>
      </c>
      <c r="X1270">
        <v>0</v>
      </c>
      <c r="Z1270">
        <v>0</v>
      </c>
      <c r="AK1270">
        <v>1</v>
      </c>
      <c r="AL1270">
        <v>1</v>
      </c>
    </row>
    <row r="1271" spans="1:38" x14ac:dyDescent="0.3">
      <c r="A1271">
        <v>349254</v>
      </c>
      <c r="B1271" t="s">
        <v>38</v>
      </c>
      <c r="C1271" t="s">
        <v>680</v>
      </c>
      <c r="D1271">
        <v>2020</v>
      </c>
      <c r="E1271" t="s">
        <v>61</v>
      </c>
      <c r="F1271" t="s">
        <v>62</v>
      </c>
      <c r="G1271">
        <v>1</v>
      </c>
      <c r="H1271">
        <v>1</v>
      </c>
      <c r="I1271">
        <v>0</v>
      </c>
      <c r="J1271">
        <v>1</v>
      </c>
      <c r="K1271">
        <v>0</v>
      </c>
      <c r="L1271">
        <v>0</v>
      </c>
      <c r="M1271">
        <v>5</v>
      </c>
      <c r="N1271">
        <v>14</v>
      </c>
      <c r="O1271">
        <v>0</v>
      </c>
      <c r="P1271">
        <v>7</v>
      </c>
      <c r="Q1271">
        <v>0</v>
      </c>
      <c r="R1271">
        <v>57</v>
      </c>
    </row>
    <row r="1272" spans="1:38" x14ac:dyDescent="0.3">
      <c r="A1272">
        <v>349254</v>
      </c>
      <c r="B1272" t="s">
        <v>38</v>
      </c>
      <c r="C1272" t="s">
        <v>680</v>
      </c>
      <c r="D1272">
        <v>2021</v>
      </c>
      <c r="E1272" t="s">
        <v>61</v>
      </c>
      <c r="F1272" t="s">
        <v>62</v>
      </c>
      <c r="S1272">
        <v>0</v>
      </c>
      <c r="T1272">
        <v>0</v>
      </c>
      <c r="U1272">
        <v>0</v>
      </c>
      <c r="V1272">
        <v>11</v>
      </c>
      <c r="W1272">
        <v>16</v>
      </c>
      <c r="X1272">
        <v>2</v>
      </c>
      <c r="Z1272">
        <v>0</v>
      </c>
    </row>
    <row r="1273" spans="1:38" x14ac:dyDescent="0.3">
      <c r="A1273">
        <v>349254</v>
      </c>
      <c r="B1273" t="s">
        <v>38</v>
      </c>
      <c r="C1273" t="s">
        <v>680</v>
      </c>
      <c r="D1273">
        <v>2022</v>
      </c>
      <c r="E1273" t="s">
        <v>529</v>
      </c>
      <c r="F1273" t="s">
        <v>530</v>
      </c>
      <c r="M1273">
        <v>1</v>
      </c>
      <c r="N1273">
        <v>4</v>
      </c>
      <c r="O1273">
        <v>0</v>
      </c>
      <c r="P1273">
        <v>1</v>
      </c>
      <c r="Q1273">
        <v>1</v>
      </c>
      <c r="R1273">
        <v>1</v>
      </c>
      <c r="S1273">
        <v>1</v>
      </c>
      <c r="T1273">
        <v>3</v>
      </c>
      <c r="U1273">
        <v>3</v>
      </c>
      <c r="V1273">
        <v>14</v>
      </c>
      <c r="W1273">
        <v>25</v>
      </c>
      <c r="X1273">
        <v>4</v>
      </c>
      <c r="Z1273">
        <v>0</v>
      </c>
    </row>
    <row r="1274" spans="1:38" x14ac:dyDescent="0.3">
      <c r="A1274">
        <v>349254</v>
      </c>
      <c r="B1274" t="s">
        <v>38</v>
      </c>
      <c r="C1274" t="s">
        <v>680</v>
      </c>
      <c r="D1274">
        <v>2023</v>
      </c>
      <c r="E1274" t="s">
        <v>529</v>
      </c>
      <c r="F1274" t="s">
        <v>530</v>
      </c>
      <c r="M1274">
        <v>4</v>
      </c>
      <c r="N1274">
        <v>13</v>
      </c>
      <c r="O1274">
        <v>0</v>
      </c>
      <c r="S1274">
        <v>3</v>
      </c>
      <c r="T1274">
        <v>2</v>
      </c>
      <c r="U1274">
        <v>3.5</v>
      </c>
      <c r="V1274">
        <v>18</v>
      </c>
      <c r="W1274">
        <v>42</v>
      </c>
      <c r="X1274">
        <v>8</v>
      </c>
      <c r="Z1274">
        <v>0</v>
      </c>
    </row>
    <row r="1275" spans="1:38" x14ac:dyDescent="0.3">
      <c r="A1275">
        <v>349254</v>
      </c>
      <c r="B1275" t="s">
        <v>38</v>
      </c>
      <c r="C1275" t="s">
        <v>680</v>
      </c>
      <c r="D1275">
        <v>2024</v>
      </c>
      <c r="E1275" t="s">
        <v>529</v>
      </c>
      <c r="F1275" t="s">
        <v>530</v>
      </c>
      <c r="M1275">
        <v>21</v>
      </c>
      <c r="N1275">
        <v>69</v>
      </c>
      <c r="O1275">
        <v>7</v>
      </c>
      <c r="S1275">
        <v>0</v>
      </c>
      <c r="T1275">
        <v>5</v>
      </c>
      <c r="U1275">
        <v>3.5</v>
      </c>
      <c r="V1275">
        <v>18</v>
      </c>
      <c r="W1275">
        <v>42</v>
      </c>
      <c r="X1275">
        <v>13.5</v>
      </c>
      <c r="Z1275">
        <v>0</v>
      </c>
      <c r="AK1275">
        <v>0</v>
      </c>
      <c r="AL1275">
        <v>0</v>
      </c>
    </row>
    <row r="1276" spans="1:38" x14ac:dyDescent="0.3">
      <c r="A1276">
        <v>349298</v>
      </c>
      <c r="B1276" t="s">
        <v>80</v>
      </c>
      <c r="C1276" t="s">
        <v>681</v>
      </c>
      <c r="D1276">
        <v>2020</v>
      </c>
      <c r="E1276" t="s">
        <v>268</v>
      </c>
      <c r="F1276" t="s">
        <v>269</v>
      </c>
      <c r="S1276">
        <v>0</v>
      </c>
      <c r="T1276">
        <v>0</v>
      </c>
      <c r="U1276">
        <v>0</v>
      </c>
      <c r="V1276">
        <v>1</v>
      </c>
      <c r="W1276">
        <v>2</v>
      </c>
      <c r="X1276">
        <v>0</v>
      </c>
      <c r="Z1276">
        <v>0</v>
      </c>
    </row>
    <row r="1277" spans="1:38" x14ac:dyDescent="0.3">
      <c r="A1277">
        <v>349298</v>
      </c>
      <c r="B1277" t="s">
        <v>80</v>
      </c>
      <c r="C1277" t="s">
        <v>681</v>
      </c>
      <c r="D1277">
        <v>2021</v>
      </c>
      <c r="E1277" t="s">
        <v>268</v>
      </c>
      <c r="F1277" t="s">
        <v>269</v>
      </c>
      <c r="S1277">
        <v>0</v>
      </c>
      <c r="T1277">
        <v>1</v>
      </c>
      <c r="U1277">
        <v>1</v>
      </c>
      <c r="V1277">
        <v>2</v>
      </c>
      <c r="W1277">
        <v>9</v>
      </c>
      <c r="X1277">
        <v>2.5</v>
      </c>
      <c r="Z1277">
        <v>0</v>
      </c>
    </row>
    <row r="1278" spans="1:38" x14ac:dyDescent="0.3">
      <c r="A1278">
        <v>349298</v>
      </c>
      <c r="B1278" t="s">
        <v>80</v>
      </c>
      <c r="C1278" t="s">
        <v>681</v>
      </c>
      <c r="D1278">
        <v>2022</v>
      </c>
      <c r="E1278" t="s">
        <v>268</v>
      </c>
      <c r="F1278" t="s">
        <v>269</v>
      </c>
      <c r="S1278">
        <v>0</v>
      </c>
      <c r="T1278">
        <v>1</v>
      </c>
      <c r="U1278">
        <v>3</v>
      </c>
      <c r="V1278">
        <v>15</v>
      </c>
      <c r="W1278">
        <v>28</v>
      </c>
      <c r="X1278">
        <v>5</v>
      </c>
      <c r="Z1278">
        <v>0</v>
      </c>
    </row>
    <row r="1279" spans="1:38" x14ac:dyDescent="0.3">
      <c r="A1279">
        <v>349298</v>
      </c>
      <c r="B1279" t="s">
        <v>80</v>
      </c>
      <c r="C1279" t="s">
        <v>681</v>
      </c>
      <c r="D1279">
        <v>2023</v>
      </c>
      <c r="E1279" t="s">
        <v>268</v>
      </c>
      <c r="F1279" t="s">
        <v>269</v>
      </c>
      <c r="S1279">
        <v>2</v>
      </c>
      <c r="T1279">
        <v>6</v>
      </c>
      <c r="U1279">
        <v>4</v>
      </c>
      <c r="V1279">
        <v>22</v>
      </c>
      <c r="W1279">
        <v>36</v>
      </c>
      <c r="X1279">
        <v>11</v>
      </c>
      <c r="Z1279">
        <v>0</v>
      </c>
    </row>
    <row r="1280" spans="1:38" x14ac:dyDescent="0.3">
      <c r="A1280">
        <v>349298</v>
      </c>
      <c r="B1280" t="s">
        <v>80</v>
      </c>
      <c r="C1280" t="s">
        <v>681</v>
      </c>
      <c r="D1280">
        <v>2024</v>
      </c>
      <c r="E1280" t="s">
        <v>184</v>
      </c>
      <c r="F1280" t="s">
        <v>185</v>
      </c>
      <c r="S1280">
        <v>1</v>
      </c>
      <c r="T1280">
        <v>3</v>
      </c>
      <c r="U1280">
        <v>7</v>
      </c>
      <c r="V1280">
        <v>28</v>
      </c>
      <c r="W1280">
        <v>42</v>
      </c>
      <c r="X1280">
        <v>13</v>
      </c>
      <c r="Z1280">
        <v>0</v>
      </c>
      <c r="AK1280">
        <v>0</v>
      </c>
      <c r="AL1280">
        <v>0</v>
      </c>
    </row>
    <row r="1281" spans="1:38" x14ac:dyDescent="0.3">
      <c r="A1281">
        <v>349308</v>
      </c>
      <c r="B1281" t="s">
        <v>69</v>
      </c>
      <c r="C1281" t="s">
        <v>682</v>
      </c>
      <c r="D1281">
        <v>2020</v>
      </c>
      <c r="E1281" t="s">
        <v>44</v>
      </c>
      <c r="F1281" t="s">
        <v>45</v>
      </c>
      <c r="S1281">
        <v>0</v>
      </c>
      <c r="T1281">
        <v>3</v>
      </c>
      <c r="U1281">
        <v>4</v>
      </c>
      <c r="V1281">
        <v>10</v>
      </c>
      <c r="W1281">
        <v>13</v>
      </c>
      <c r="X1281">
        <v>5.5</v>
      </c>
      <c r="Z1281">
        <v>0</v>
      </c>
    </row>
    <row r="1282" spans="1:38" x14ac:dyDescent="0.3">
      <c r="A1282">
        <v>349308</v>
      </c>
      <c r="B1282" t="s">
        <v>69</v>
      </c>
      <c r="C1282" t="s">
        <v>682</v>
      </c>
      <c r="D1282">
        <v>2021</v>
      </c>
      <c r="E1282" t="s">
        <v>44</v>
      </c>
      <c r="F1282" t="s">
        <v>45</v>
      </c>
      <c r="S1282">
        <v>0</v>
      </c>
      <c r="T1282">
        <v>2</v>
      </c>
      <c r="U1282">
        <v>3.5</v>
      </c>
      <c r="V1282">
        <v>23</v>
      </c>
      <c r="W1282">
        <v>43</v>
      </c>
      <c r="X1282">
        <v>7</v>
      </c>
      <c r="Z1282">
        <v>0</v>
      </c>
    </row>
    <row r="1283" spans="1:38" x14ac:dyDescent="0.3">
      <c r="A1283">
        <v>349308</v>
      </c>
      <c r="B1283" t="s">
        <v>69</v>
      </c>
      <c r="C1283" t="s">
        <v>682</v>
      </c>
      <c r="D1283">
        <v>2022</v>
      </c>
      <c r="E1283" t="s">
        <v>44</v>
      </c>
      <c r="F1283" t="s">
        <v>45</v>
      </c>
      <c r="S1283">
        <v>0</v>
      </c>
      <c r="T1283">
        <v>4</v>
      </c>
      <c r="U1283">
        <v>2</v>
      </c>
      <c r="V1283">
        <v>26</v>
      </c>
      <c r="W1283">
        <v>46</v>
      </c>
      <c r="X1283">
        <v>6</v>
      </c>
      <c r="Z1283">
        <v>0</v>
      </c>
      <c r="AK1283">
        <v>0</v>
      </c>
      <c r="AL1283">
        <v>0</v>
      </c>
    </row>
    <row r="1284" spans="1:38" x14ac:dyDescent="0.3">
      <c r="A1284">
        <v>349308</v>
      </c>
      <c r="B1284" t="s">
        <v>69</v>
      </c>
      <c r="C1284" t="s">
        <v>682</v>
      </c>
      <c r="D1284">
        <v>2023</v>
      </c>
      <c r="E1284" t="s">
        <v>44</v>
      </c>
      <c r="F1284" t="s">
        <v>45</v>
      </c>
      <c r="P1284">
        <v>1</v>
      </c>
      <c r="Q1284">
        <v>0</v>
      </c>
      <c r="R1284">
        <v>36</v>
      </c>
      <c r="S1284">
        <v>0</v>
      </c>
      <c r="T1284">
        <v>6</v>
      </c>
      <c r="U1284">
        <v>5.5</v>
      </c>
      <c r="V1284">
        <v>27</v>
      </c>
      <c r="W1284">
        <v>54</v>
      </c>
      <c r="X1284">
        <v>7.5</v>
      </c>
      <c r="Z1284">
        <v>0</v>
      </c>
      <c r="AK1284">
        <v>0</v>
      </c>
      <c r="AL1284">
        <v>0</v>
      </c>
    </row>
    <row r="1285" spans="1:38" x14ac:dyDescent="0.3">
      <c r="A1285">
        <v>349308</v>
      </c>
      <c r="B1285" t="s">
        <v>69</v>
      </c>
      <c r="C1285" t="s">
        <v>682</v>
      </c>
      <c r="D1285">
        <v>2024</v>
      </c>
      <c r="E1285" t="s">
        <v>44</v>
      </c>
      <c r="F1285" t="s">
        <v>45</v>
      </c>
      <c r="S1285">
        <v>2</v>
      </c>
      <c r="T1285">
        <v>8</v>
      </c>
      <c r="U1285">
        <v>1.5</v>
      </c>
      <c r="V1285">
        <v>32</v>
      </c>
      <c r="W1285">
        <v>57</v>
      </c>
      <c r="X1285">
        <v>7</v>
      </c>
      <c r="Y1285">
        <v>2</v>
      </c>
      <c r="Z1285">
        <v>0</v>
      </c>
    </row>
    <row r="1286" spans="1:38" x14ac:dyDescent="0.3">
      <c r="A1286">
        <v>349348</v>
      </c>
      <c r="B1286" t="s">
        <v>69</v>
      </c>
      <c r="C1286" t="s">
        <v>683</v>
      </c>
      <c r="D1286">
        <v>2021</v>
      </c>
      <c r="E1286" t="s">
        <v>98</v>
      </c>
      <c r="F1286" t="s">
        <v>99</v>
      </c>
      <c r="S1286">
        <v>0</v>
      </c>
      <c r="T1286">
        <v>1</v>
      </c>
      <c r="U1286">
        <v>0</v>
      </c>
      <c r="V1286">
        <v>5</v>
      </c>
      <c r="W1286">
        <v>15</v>
      </c>
      <c r="X1286">
        <v>0.5</v>
      </c>
      <c r="Z1286">
        <v>0</v>
      </c>
      <c r="AK1286">
        <v>0</v>
      </c>
      <c r="AL1286">
        <v>0</v>
      </c>
    </row>
    <row r="1287" spans="1:38" x14ac:dyDescent="0.3">
      <c r="A1287">
        <v>349348</v>
      </c>
      <c r="B1287" t="s">
        <v>69</v>
      </c>
      <c r="C1287" t="s">
        <v>683</v>
      </c>
      <c r="D1287">
        <v>2022</v>
      </c>
      <c r="E1287" t="s">
        <v>98</v>
      </c>
      <c r="F1287" t="s">
        <v>99</v>
      </c>
      <c r="S1287">
        <v>0</v>
      </c>
      <c r="T1287">
        <v>2</v>
      </c>
      <c r="U1287">
        <v>4</v>
      </c>
      <c r="V1287">
        <v>17</v>
      </c>
      <c r="W1287">
        <v>34</v>
      </c>
      <c r="X1287">
        <v>8</v>
      </c>
      <c r="Z1287">
        <v>0</v>
      </c>
    </row>
    <row r="1288" spans="1:38" x14ac:dyDescent="0.3">
      <c r="A1288">
        <v>349348</v>
      </c>
      <c r="B1288" t="s">
        <v>69</v>
      </c>
      <c r="C1288" t="s">
        <v>683</v>
      </c>
      <c r="D1288">
        <v>2023</v>
      </c>
      <c r="E1288" t="s">
        <v>98</v>
      </c>
      <c r="F1288" t="s">
        <v>99</v>
      </c>
      <c r="S1288">
        <v>0</v>
      </c>
      <c r="T1288">
        <v>4</v>
      </c>
      <c r="U1288">
        <v>1</v>
      </c>
      <c r="V1288">
        <v>15</v>
      </c>
      <c r="W1288">
        <v>27</v>
      </c>
      <c r="X1288">
        <v>5</v>
      </c>
      <c r="Z1288">
        <v>0</v>
      </c>
    </row>
    <row r="1289" spans="1:38" x14ac:dyDescent="0.3">
      <c r="A1289">
        <v>349348</v>
      </c>
      <c r="B1289" t="s">
        <v>69</v>
      </c>
      <c r="C1289" t="s">
        <v>683</v>
      </c>
      <c r="D1289">
        <v>2024</v>
      </c>
      <c r="E1289" t="s">
        <v>98</v>
      </c>
      <c r="F1289" t="s">
        <v>99</v>
      </c>
      <c r="S1289">
        <v>1</v>
      </c>
      <c r="T1289">
        <v>5</v>
      </c>
      <c r="U1289">
        <v>3.5</v>
      </c>
      <c r="V1289">
        <v>8</v>
      </c>
      <c r="W1289">
        <v>23</v>
      </c>
      <c r="X1289">
        <v>5.5</v>
      </c>
      <c r="Z1289">
        <v>0</v>
      </c>
    </row>
    <row r="1290" spans="1:38" x14ac:dyDescent="0.3">
      <c r="A1290">
        <v>349406</v>
      </c>
      <c r="B1290" t="s">
        <v>76</v>
      </c>
      <c r="C1290" t="s">
        <v>684</v>
      </c>
      <c r="D1290">
        <v>2020</v>
      </c>
      <c r="E1290" t="s">
        <v>105</v>
      </c>
      <c r="F1290" t="s">
        <v>106</v>
      </c>
      <c r="M1290">
        <v>14</v>
      </c>
      <c r="N1290">
        <v>58</v>
      </c>
      <c r="O1290">
        <v>0</v>
      </c>
      <c r="S1290">
        <v>0</v>
      </c>
      <c r="T1290">
        <v>0</v>
      </c>
      <c r="U1290">
        <v>0</v>
      </c>
      <c r="V1290">
        <v>1</v>
      </c>
      <c r="W1290">
        <v>1</v>
      </c>
      <c r="X1290">
        <v>0</v>
      </c>
      <c r="Z1290">
        <v>0</v>
      </c>
      <c r="AA1290">
        <v>13.7</v>
      </c>
      <c r="AB1290">
        <v>28</v>
      </c>
      <c r="AC1290">
        <v>3</v>
      </c>
      <c r="AD1290">
        <v>0</v>
      </c>
      <c r="AE1290">
        <v>41</v>
      </c>
    </row>
    <row r="1291" spans="1:38" x14ac:dyDescent="0.3">
      <c r="A1291">
        <v>349406</v>
      </c>
      <c r="B1291" t="s">
        <v>76</v>
      </c>
      <c r="C1291" t="s">
        <v>684</v>
      </c>
      <c r="D1291">
        <v>2021</v>
      </c>
      <c r="E1291" t="s">
        <v>105</v>
      </c>
      <c r="F1291" t="s">
        <v>106</v>
      </c>
      <c r="M1291">
        <v>22</v>
      </c>
      <c r="N1291">
        <v>105</v>
      </c>
      <c r="O1291">
        <v>0</v>
      </c>
      <c r="P1291">
        <v>5</v>
      </c>
      <c r="Q1291">
        <v>0</v>
      </c>
      <c r="R1291">
        <v>11</v>
      </c>
      <c r="AA1291">
        <v>0</v>
      </c>
      <c r="AB1291">
        <v>0</v>
      </c>
      <c r="AC1291">
        <v>1</v>
      </c>
      <c r="AD1291">
        <v>0</v>
      </c>
      <c r="AE1291">
        <v>0</v>
      </c>
    </row>
    <row r="1292" spans="1:38" x14ac:dyDescent="0.3">
      <c r="A1292">
        <v>349406</v>
      </c>
      <c r="B1292" t="s">
        <v>76</v>
      </c>
      <c r="C1292" t="s">
        <v>684</v>
      </c>
      <c r="D1292">
        <v>2022</v>
      </c>
      <c r="E1292" t="s">
        <v>105</v>
      </c>
      <c r="F1292" t="s">
        <v>106</v>
      </c>
      <c r="M1292">
        <v>98</v>
      </c>
      <c r="N1292">
        <v>536</v>
      </c>
      <c r="O1292">
        <v>6</v>
      </c>
      <c r="P1292">
        <v>21</v>
      </c>
      <c r="Q1292">
        <v>0</v>
      </c>
      <c r="R1292">
        <v>132</v>
      </c>
    </row>
    <row r="1293" spans="1:38" x14ac:dyDescent="0.3">
      <c r="A1293">
        <v>349406</v>
      </c>
      <c r="B1293" t="s">
        <v>76</v>
      </c>
      <c r="C1293" t="s">
        <v>684</v>
      </c>
      <c r="D1293">
        <v>2023</v>
      </c>
      <c r="E1293" t="s">
        <v>105</v>
      </c>
      <c r="F1293" t="s">
        <v>106</v>
      </c>
      <c r="M1293">
        <v>55</v>
      </c>
      <c r="N1293">
        <v>284</v>
      </c>
      <c r="O1293">
        <v>5</v>
      </c>
      <c r="P1293">
        <v>14</v>
      </c>
      <c r="Q1293">
        <v>1</v>
      </c>
      <c r="R1293">
        <v>194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Z1293">
        <v>0</v>
      </c>
    </row>
    <row r="1294" spans="1:38" x14ac:dyDescent="0.3">
      <c r="A1294">
        <v>349406</v>
      </c>
      <c r="B1294" t="s">
        <v>76</v>
      </c>
      <c r="C1294" t="s">
        <v>684</v>
      </c>
      <c r="D1294">
        <v>2024</v>
      </c>
      <c r="E1294" t="s">
        <v>105</v>
      </c>
      <c r="F1294" t="s">
        <v>106</v>
      </c>
      <c r="M1294">
        <v>117</v>
      </c>
      <c r="N1294">
        <v>482</v>
      </c>
      <c r="O1294">
        <v>6</v>
      </c>
      <c r="P1294">
        <v>31</v>
      </c>
      <c r="Q1294">
        <v>0</v>
      </c>
      <c r="R1294">
        <v>263</v>
      </c>
      <c r="AA1294">
        <v>8</v>
      </c>
      <c r="AB1294">
        <v>14</v>
      </c>
      <c r="AC1294">
        <v>2</v>
      </c>
      <c r="AD1294">
        <v>0</v>
      </c>
      <c r="AE1294">
        <v>16</v>
      </c>
    </row>
    <row r="1295" spans="1:38" x14ac:dyDescent="0.3">
      <c r="A1295">
        <v>349410</v>
      </c>
      <c r="B1295" t="s">
        <v>46</v>
      </c>
      <c r="C1295" t="s">
        <v>685</v>
      </c>
      <c r="D1295">
        <v>2020</v>
      </c>
      <c r="E1295" t="s">
        <v>119</v>
      </c>
      <c r="F1295" t="s">
        <v>120</v>
      </c>
      <c r="P1295">
        <v>10</v>
      </c>
      <c r="Q1295">
        <v>1</v>
      </c>
      <c r="R1295">
        <v>61</v>
      </c>
      <c r="S1295">
        <v>0</v>
      </c>
      <c r="T1295">
        <v>0</v>
      </c>
      <c r="U1295">
        <v>0</v>
      </c>
      <c r="V1295">
        <v>1</v>
      </c>
      <c r="W1295">
        <v>2</v>
      </c>
      <c r="X1295">
        <v>0</v>
      </c>
      <c r="Z1295">
        <v>0</v>
      </c>
      <c r="AA1295">
        <v>37.299999999999997</v>
      </c>
      <c r="AB1295">
        <v>65</v>
      </c>
      <c r="AC1295">
        <v>7</v>
      </c>
      <c r="AD1295">
        <v>0</v>
      </c>
      <c r="AE1295">
        <v>261</v>
      </c>
    </row>
    <row r="1296" spans="1:38" x14ac:dyDescent="0.3">
      <c r="A1296">
        <v>349410</v>
      </c>
      <c r="B1296" t="s">
        <v>46</v>
      </c>
      <c r="C1296" t="s">
        <v>685</v>
      </c>
      <c r="D1296">
        <v>2021</v>
      </c>
      <c r="E1296" t="s">
        <v>119</v>
      </c>
      <c r="F1296" t="s">
        <v>120</v>
      </c>
      <c r="P1296">
        <v>26</v>
      </c>
      <c r="Q1296">
        <v>0</v>
      </c>
      <c r="R1296">
        <v>269</v>
      </c>
      <c r="S1296">
        <v>0</v>
      </c>
      <c r="T1296">
        <v>0</v>
      </c>
      <c r="U1296">
        <v>0</v>
      </c>
      <c r="V1296">
        <v>1</v>
      </c>
      <c r="W1296">
        <v>2</v>
      </c>
      <c r="X1296">
        <v>0</v>
      </c>
      <c r="Z1296">
        <v>1</v>
      </c>
      <c r="AA1296">
        <v>30.6</v>
      </c>
      <c r="AB1296">
        <v>100</v>
      </c>
      <c r="AC1296">
        <v>15</v>
      </c>
      <c r="AD1296">
        <v>1</v>
      </c>
      <c r="AE1296">
        <v>459</v>
      </c>
    </row>
    <row r="1297" spans="1:38" x14ac:dyDescent="0.3">
      <c r="A1297">
        <v>349410</v>
      </c>
      <c r="B1297" t="s">
        <v>46</v>
      </c>
      <c r="C1297" t="s">
        <v>685</v>
      </c>
      <c r="D1297">
        <v>2022</v>
      </c>
      <c r="E1297" t="s">
        <v>119</v>
      </c>
      <c r="F1297" t="s">
        <v>120</v>
      </c>
      <c r="P1297">
        <v>40</v>
      </c>
      <c r="Q1297">
        <v>4</v>
      </c>
      <c r="R1297">
        <v>502</v>
      </c>
      <c r="S1297">
        <v>0</v>
      </c>
      <c r="T1297">
        <v>0</v>
      </c>
      <c r="U1297">
        <v>0</v>
      </c>
      <c r="V1297">
        <v>2</v>
      </c>
      <c r="W1297">
        <v>2</v>
      </c>
      <c r="X1297">
        <v>0</v>
      </c>
      <c r="Z1297">
        <v>1</v>
      </c>
      <c r="AA1297">
        <v>32.299999999999997</v>
      </c>
      <c r="AB1297">
        <v>92</v>
      </c>
      <c r="AC1297">
        <v>19</v>
      </c>
      <c r="AD1297">
        <v>1</v>
      </c>
      <c r="AE1297">
        <v>613</v>
      </c>
      <c r="AF1297">
        <v>2.2999999999999998</v>
      </c>
      <c r="AG1297">
        <v>9</v>
      </c>
      <c r="AH1297">
        <v>3</v>
      </c>
      <c r="AI1297">
        <v>0</v>
      </c>
      <c r="AJ1297">
        <v>7</v>
      </c>
      <c r="AK1297">
        <v>1</v>
      </c>
      <c r="AL1297">
        <v>0</v>
      </c>
    </row>
    <row r="1298" spans="1:38" x14ac:dyDescent="0.3">
      <c r="A1298">
        <v>349410</v>
      </c>
      <c r="B1298" t="s">
        <v>46</v>
      </c>
      <c r="C1298" t="s">
        <v>685</v>
      </c>
      <c r="D1298">
        <v>2023</v>
      </c>
      <c r="E1298" t="s">
        <v>119</v>
      </c>
      <c r="F1298" t="s">
        <v>120</v>
      </c>
      <c r="M1298">
        <v>17</v>
      </c>
      <c r="N1298">
        <v>74</v>
      </c>
      <c r="O1298">
        <v>1</v>
      </c>
      <c r="P1298">
        <v>50</v>
      </c>
      <c r="Q1298">
        <v>4</v>
      </c>
      <c r="R1298">
        <v>658</v>
      </c>
      <c r="AA1298">
        <v>21.9</v>
      </c>
      <c r="AB1298">
        <v>39</v>
      </c>
      <c r="AC1298">
        <v>14</v>
      </c>
      <c r="AD1298">
        <v>0</v>
      </c>
      <c r="AE1298">
        <v>307</v>
      </c>
    </row>
    <row r="1299" spans="1:38" x14ac:dyDescent="0.3">
      <c r="A1299">
        <v>349417</v>
      </c>
      <c r="B1299" t="s">
        <v>69</v>
      </c>
      <c r="C1299" t="s">
        <v>686</v>
      </c>
      <c r="D1299">
        <v>2020</v>
      </c>
      <c r="E1299" t="s">
        <v>119</v>
      </c>
      <c r="F1299" t="s">
        <v>120</v>
      </c>
      <c r="S1299">
        <v>2</v>
      </c>
      <c r="T1299">
        <v>2</v>
      </c>
      <c r="U1299">
        <v>5</v>
      </c>
      <c r="V1299">
        <v>12</v>
      </c>
      <c r="W1299">
        <v>30</v>
      </c>
      <c r="X1299">
        <v>6</v>
      </c>
      <c r="Y1299">
        <v>1</v>
      </c>
      <c r="Z1299">
        <v>0</v>
      </c>
      <c r="AK1299">
        <v>0</v>
      </c>
      <c r="AL1299">
        <v>0</v>
      </c>
    </row>
    <row r="1300" spans="1:38" x14ac:dyDescent="0.3">
      <c r="A1300">
        <v>349417</v>
      </c>
      <c r="B1300" t="s">
        <v>69</v>
      </c>
      <c r="C1300" t="s">
        <v>686</v>
      </c>
      <c r="D1300">
        <v>2021</v>
      </c>
      <c r="E1300" t="s">
        <v>119</v>
      </c>
      <c r="F1300" t="s">
        <v>120</v>
      </c>
      <c r="S1300">
        <v>2</v>
      </c>
      <c r="T1300">
        <v>5</v>
      </c>
      <c r="U1300">
        <v>7</v>
      </c>
      <c r="V1300">
        <v>19</v>
      </c>
      <c r="W1300">
        <v>46</v>
      </c>
      <c r="X1300">
        <v>10</v>
      </c>
      <c r="Y1300">
        <v>1</v>
      </c>
      <c r="Z1300">
        <v>0</v>
      </c>
      <c r="AK1300">
        <v>0</v>
      </c>
      <c r="AL1300">
        <v>0</v>
      </c>
    </row>
    <row r="1301" spans="1:38" x14ac:dyDescent="0.3">
      <c r="A1301">
        <v>349417</v>
      </c>
      <c r="B1301" t="s">
        <v>69</v>
      </c>
      <c r="C1301" t="s">
        <v>686</v>
      </c>
      <c r="D1301">
        <v>2022</v>
      </c>
      <c r="E1301" t="s">
        <v>119</v>
      </c>
      <c r="F1301" t="s">
        <v>120</v>
      </c>
      <c r="S1301">
        <v>2</v>
      </c>
      <c r="T1301">
        <v>8</v>
      </c>
      <c r="U1301">
        <v>6</v>
      </c>
      <c r="V1301">
        <v>25</v>
      </c>
      <c r="W1301">
        <v>54</v>
      </c>
      <c r="X1301">
        <v>10.5</v>
      </c>
      <c r="Y1301">
        <v>1</v>
      </c>
      <c r="Z1301">
        <v>0</v>
      </c>
      <c r="AK1301">
        <v>0</v>
      </c>
      <c r="AL1301">
        <v>0</v>
      </c>
    </row>
    <row r="1302" spans="1:38" x14ac:dyDescent="0.3">
      <c r="A1302">
        <v>349626</v>
      </c>
      <c r="B1302" t="s">
        <v>50</v>
      </c>
      <c r="C1302" t="s">
        <v>687</v>
      </c>
      <c r="D1302">
        <v>2020</v>
      </c>
      <c r="E1302" t="s">
        <v>265</v>
      </c>
      <c r="F1302" t="s">
        <v>266</v>
      </c>
      <c r="S1302">
        <v>0</v>
      </c>
      <c r="T1302">
        <v>0</v>
      </c>
      <c r="U1302">
        <v>0</v>
      </c>
      <c r="V1302">
        <v>1</v>
      </c>
      <c r="W1302">
        <v>2</v>
      </c>
      <c r="X1302">
        <v>0</v>
      </c>
      <c r="Z1302">
        <v>0</v>
      </c>
    </row>
    <row r="1303" spans="1:38" x14ac:dyDescent="0.3">
      <c r="A1303">
        <v>349626</v>
      </c>
      <c r="B1303" t="s">
        <v>50</v>
      </c>
      <c r="C1303" t="s">
        <v>687</v>
      </c>
      <c r="D1303">
        <v>2021</v>
      </c>
      <c r="E1303" t="s">
        <v>265</v>
      </c>
      <c r="F1303" t="s">
        <v>266</v>
      </c>
      <c r="S1303">
        <v>1</v>
      </c>
      <c r="T1303">
        <v>0</v>
      </c>
      <c r="U1303">
        <v>0</v>
      </c>
      <c r="V1303">
        <v>21</v>
      </c>
      <c r="W1303">
        <v>24</v>
      </c>
      <c r="X1303">
        <v>0</v>
      </c>
      <c r="Y1303">
        <v>1</v>
      </c>
      <c r="Z1303">
        <v>0</v>
      </c>
      <c r="AK1303">
        <v>0</v>
      </c>
      <c r="AL1303">
        <v>0</v>
      </c>
    </row>
    <row r="1304" spans="1:38" x14ac:dyDescent="0.3">
      <c r="A1304">
        <v>349626</v>
      </c>
      <c r="B1304" t="s">
        <v>50</v>
      </c>
      <c r="C1304" t="s">
        <v>687</v>
      </c>
      <c r="D1304">
        <v>2022</v>
      </c>
      <c r="E1304" t="s">
        <v>265</v>
      </c>
      <c r="F1304" t="s">
        <v>266</v>
      </c>
      <c r="S1304">
        <v>5</v>
      </c>
      <c r="T1304">
        <v>0</v>
      </c>
      <c r="U1304">
        <v>0</v>
      </c>
      <c r="V1304">
        <v>37</v>
      </c>
      <c r="W1304">
        <v>50</v>
      </c>
      <c r="X1304">
        <v>1</v>
      </c>
      <c r="Y1304">
        <v>2</v>
      </c>
      <c r="Z1304">
        <v>0</v>
      </c>
    </row>
    <row r="1305" spans="1:38" x14ac:dyDescent="0.3">
      <c r="A1305">
        <v>349626</v>
      </c>
      <c r="B1305" t="s">
        <v>50</v>
      </c>
      <c r="C1305" t="s">
        <v>687</v>
      </c>
      <c r="D1305">
        <v>2023</v>
      </c>
      <c r="E1305" t="s">
        <v>265</v>
      </c>
      <c r="F1305" t="s">
        <v>266</v>
      </c>
      <c r="S1305">
        <v>8</v>
      </c>
      <c r="T1305">
        <v>1</v>
      </c>
      <c r="U1305">
        <v>1</v>
      </c>
      <c r="V1305">
        <v>24</v>
      </c>
      <c r="W1305">
        <v>34</v>
      </c>
      <c r="X1305">
        <v>1</v>
      </c>
      <c r="Y1305">
        <v>4</v>
      </c>
      <c r="Z1305">
        <v>2</v>
      </c>
    </row>
    <row r="1306" spans="1:38" x14ac:dyDescent="0.3">
      <c r="A1306">
        <v>349626</v>
      </c>
      <c r="B1306" t="s">
        <v>50</v>
      </c>
      <c r="C1306" t="s">
        <v>687</v>
      </c>
      <c r="D1306">
        <v>2024</v>
      </c>
      <c r="E1306" t="s">
        <v>265</v>
      </c>
      <c r="F1306" t="s">
        <v>266</v>
      </c>
      <c r="S1306">
        <v>6</v>
      </c>
      <c r="T1306">
        <v>0</v>
      </c>
      <c r="U1306">
        <v>0</v>
      </c>
      <c r="V1306">
        <v>39</v>
      </c>
      <c r="W1306">
        <v>49</v>
      </c>
      <c r="X1306">
        <v>1</v>
      </c>
      <c r="Y1306">
        <v>5</v>
      </c>
      <c r="Z1306">
        <v>2</v>
      </c>
      <c r="AK1306">
        <v>0</v>
      </c>
      <c r="AL1306">
        <v>0</v>
      </c>
    </row>
    <row r="1307" spans="1:38" x14ac:dyDescent="0.3">
      <c r="A1307">
        <v>349628</v>
      </c>
      <c r="B1307" t="s">
        <v>38</v>
      </c>
      <c r="C1307" t="s">
        <v>688</v>
      </c>
      <c r="D1307">
        <v>2020</v>
      </c>
      <c r="E1307" t="s">
        <v>108</v>
      </c>
      <c r="F1307" t="s">
        <v>109</v>
      </c>
      <c r="S1307">
        <v>0</v>
      </c>
      <c r="T1307">
        <v>1</v>
      </c>
      <c r="U1307">
        <v>1.5</v>
      </c>
      <c r="V1307">
        <v>5</v>
      </c>
      <c r="W1307">
        <v>21</v>
      </c>
      <c r="X1307">
        <v>2</v>
      </c>
      <c r="Z1307">
        <v>0</v>
      </c>
      <c r="AK1307">
        <v>0</v>
      </c>
      <c r="AL1307">
        <v>0</v>
      </c>
    </row>
    <row r="1308" spans="1:38" x14ac:dyDescent="0.3">
      <c r="A1308">
        <v>349628</v>
      </c>
      <c r="B1308" t="s">
        <v>38</v>
      </c>
      <c r="C1308" t="s">
        <v>688</v>
      </c>
      <c r="D1308">
        <v>2021</v>
      </c>
      <c r="E1308" t="s">
        <v>108</v>
      </c>
      <c r="F1308" t="s">
        <v>109</v>
      </c>
      <c r="S1308">
        <v>1</v>
      </c>
      <c r="T1308">
        <v>3</v>
      </c>
      <c r="U1308">
        <v>1</v>
      </c>
      <c r="V1308">
        <v>13</v>
      </c>
      <c r="W1308">
        <v>42</v>
      </c>
      <c r="X1308">
        <v>8</v>
      </c>
      <c r="Z1308">
        <v>0</v>
      </c>
      <c r="AK1308">
        <v>0</v>
      </c>
      <c r="AL1308">
        <v>0</v>
      </c>
    </row>
    <row r="1309" spans="1:38" x14ac:dyDescent="0.3">
      <c r="A1309">
        <v>349628</v>
      </c>
      <c r="B1309" t="s">
        <v>38</v>
      </c>
      <c r="C1309" t="s">
        <v>688</v>
      </c>
      <c r="D1309">
        <v>2022</v>
      </c>
      <c r="E1309" t="s">
        <v>108</v>
      </c>
      <c r="F1309" t="s">
        <v>109</v>
      </c>
      <c r="S1309">
        <v>0</v>
      </c>
      <c r="T1309">
        <v>0</v>
      </c>
      <c r="U1309">
        <v>1</v>
      </c>
      <c r="V1309">
        <v>10</v>
      </c>
      <c r="W1309">
        <v>24</v>
      </c>
      <c r="X1309">
        <v>3.5</v>
      </c>
      <c r="Z1309">
        <v>0</v>
      </c>
    </row>
    <row r="1310" spans="1:38" x14ac:dyDescent="0.3">
      <c r="A1310">
        <v>349628</v>
      </c>
      <c r="B1310" t="s">
        <v>38</v>
      </c>
      <c r="C1310" t="s">
        <v>688</v>
      </c>
      <c r="D1310">
        <v>2023</v>
      </c>
      <c r="E1310" t="s">
        <v>108</v>
      </c>
      <c r="F1310" t="s">
        <v>109</v>
      </c>
      <c r="S1310">
        <v>1</v>
      </c>
      <c r="T1310">
        <v>3</v>
      </c>
      <c r="U1310">
        <v>2.5</v>
      </c>
      <c r="V1310">
        <v>20</v>
      </c>
      <c r="W1310">
        <v>51</v>
      </c>
      <c r="X1310">
        <v>4.5</v>
      </c>
      <c r="Z1310">
        <v>0</v>
      </c>
      <c r="AK1310">
        <v>0</v>
      </c>
      <c r="AL1310">
        <v>0</v>
      </c>
    </row>
    <row r="1311" spans="1:38" x14ac:dyDescent="0.3">
      <c r="A1311">
        <v>349639</v>
      </c>
      <c r="B1311" t="s">
        <v>46</v>
      </c>
      <c r="C1311" t="s">
        <v>689</v>
      </c>
      <c r="D1311">
        <v>2020</v>
      </c>
      <c r="E1311" t="s">
        <v>108</v>
      </c>
      <c r="F1311" t="s">
        <v>109</v>
      </c>
      <c r="M1311">
        <v>8</v>
      </c>
      <c r="N1311">
        <v>34</v>
      </c>
      <c r="O1311">
        <v>0</v>
      </c>
      <c r="P1311">
        <v>17</v>
      </c>
      <c r="Q1311">
        <v>1</v>
      </c>
      <c r="R1311">
        <v>114</v>
      </c>
      <c r="AA1311">
        <v>21.7</v>
      </c>
      <c r="AB1311">
        <v>37</v>
      </c>
      <c r="AC1311">
        <v>12</v>
      </c>
      <c r="AD1311">
        <v>0</v>
      </c>
      <c r="AE1311">
        <v>260</v>
      </c>
      <c r="AF1311">
        <v>8.9</v>
      </c>
      <c r="AG1311">
        <v>27</v>
      </c>
      <c r="AH1311">
        <v>10</v>
      </c>
      <c r="AI1311">
        <v>0</v>
      </c>
      <c r="AJ1311">
        <v>89</v>
      </c>
    </row>
    <row r="1312" spans="1:38" x14ac:dyDescent="0.3">
      <c r="A1312">
        <v>349639</v>
      </c>
      <c r="B1312" t="s">
        <v>46</v>
      </c>
      <c r="C1312" t="s">
        <v>689</v>
      </c>
      <c r="D1312">
        <v>2021</v>
      </c>
      <c r="E1312" t="s">
        <v>108</v>
      </c>
      <c r="F1312" t="s">
        <v>109</v>
      </c>
      <c r="M1312">
        <v>5</v>
      </c>
      <c r="N1312">
        <v>29</v>
      </c>
      <c r="O1312">
        <v>0</v>
      </c>
      <c r="P1312">
        <v>65</v>
      </c>
      <c r="Q1312">
        <v>4</v>
      </c>
      <c r="R1312">
        <v>702</v>
      </c>
      <c r="AF1312">
        <v>6.8</v>
      </c>
      <c r="AG1312">
        <v>48</v>
      </c>
      <c r="AH1312">
        <v>19</v>
      </c>
      <c r="AI1312">
        <v>0</v>
      </c>
      <c r="AJ1312">
        <v>129</v>
      </c>
      <c r="AK1312">
        <v>3</v>
      </c>
      <c r="AL1312">
        <v>3</v>
      </c>
    </row>
    <row r="1313" spans="1:38" x14ac:dyDescent="0.3">
      <c r="A1313">
        <v>349639</v>
      </c>
      <c r="B1313" t="s">
        <v>46</v>
      </c>
      <c r="C1313" t="s">
        <v>689</v>
      </c>
      <c r="D1313">
        <v>2022</v>
      </c>
      <c r="E1313" t="s">
        <v>108</v>
      </c>
      <c r="F1313" t="s">
        <v>109</v>
      </c>
      <c r="M1313">
        <v>15</v>
      </c>
      <c r="N1313">
        <v>106</v>
      </c>
      <c r="O1313">
        <v>1</v>
      </c>
      <c r="P1313">
        <v>62</v>
      </c>
      <c r="Q1313">
        <v>8</v>
      </c>
      <c r="R1313">
        <v>719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0</v>
      </c>
      <c r="Z1313">
        <v>0</v>
      </c>
      <c r="AF1313">
        <v>9.6999999999999993</v>
      </c>
      <c r="AG1313">
        <v>41</v>
      </c>
      <c r="AH1313">
        <v>14</v>
      </c>
      <c r="AI1313">
        <v>0</v>
      </c>
      <c r="AJ1313">
        <v>136</v>
      </c>
      <c r="AK1313">
        <v>4</v>
      </c>
      <c r="AL1313">
        <v>2</v>
      </c>
    </row>
    <row r="1314" spans="1:38" x14ac:dyDescent="0.3">
      <c r="A1314">
        <v>349639</v>
      </c>
      <c r="B1314" t="s">
        <v>46</v>
      </c>
      <c r="C1314" t="s">
        <v>689</v>
      </c>
      <c r="D1314">
        <v>2023</v>
      </c>
      <c r="E1314" t="s">
        <v>108</v>
      </c>
      <c r="F1314" t="s">
        <v>109</v>
      </c>
      <c r="M1314">
        <v>8</v>
      </c>
      <c r="N1314">
        <v>44</v>
      </c>
      <c r="O1314">
        <v>1</v>
      </c>
      <c r="P1314">
        <v>108</v>
      </c>
      <c r="Q1314">
        <v>8</v>
      </c>
      <c r="R1314">
        <v>1168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Z1314">
        <v>1</v>
      </c>
      <c r="AA1314">
        <v>15</v>
      </c>
      <c r="AB1314">
        <v>15</v>
      </c>
      <c r="AC1314">
        <v>2</v>
      </c>
      <c r="AD1314">
        <v>0</v>
      </c>
      <c r="AE1314">
        <v>30</v>
      </c>
      <c r="AF1314">
        <v>19.899999999999999</v>
      </c>
      <c r="AG1314">
        <v>67</v>
      </c>
      <c r="AH1314">
        <v>14</v>
      </c>
      <c r="AI1314">
        <v>1</v>
      </c>
      <c r="AJ1314">
        <v>278</v>
      </c>
    </row>
    <row r="1315" spans="1:38" x14ac:dyDescent="0.3">
      <c r="A1315">
        <v>349639</v>
      </c>
      <c r="B1315" t="s">
        <v>46</v>
      </c>
      <c r="C1315" t="s">
        <v>689</v>
      </c>
      <c r="D1315">
        <v>2024</v>
      </c>
      <c r="E1315" t="s">
        <v>590</v>
      </c>
      <c r="F1315" t="s">
        <v>591</v>
      </c>
      <c r="M1315">
        <v>1</v>
      </c>
      <c r="N1315">
        <v>0</v>
      </c>
      <c r="O1315">
        <v>0</v>
      </c>
      <c r="P1315">
        <v>74</v>
      </c>
      <c r="Q1315">
        <v>10</v>
      </c>
      <c r="R1315">
        <v>931</v>
      </c>
      <c r="S1315">
        <v>0</v>
      </c>
      <c r="T1315">
        <v>0</v>
      </c>
      <c r="U1315">
        <v>0</v>
      </c>
      <c r="V1315">
        <v>1</v>
      </c>
      <c r="W1315">
        <v>1</v>
      </c>
      <c r="X1315">
        <v>0</v>
      </c>
      <c r="Z1315">
        <v>1</v>
      </c>
      <c r="AA1315">
        <v>7</v>
      </c>
      <c r="AB1315">
        <v>14</v>
      </c>
      <c r="AC1315">
        <v>2</v>
      </c>
      <c r="AD1315">
        <v>0</v>
      </c>
      <c r="AE1315">
        <v>14</v>
      </c>
      <c r="AF1315">
        <v>12</v>
      </c>
      <c r="AG1315">
        <v>76</v>
      </c>
      <c r="AH1315">
        <v>9</v>
      </c>
      <c r="AI1315">
        <v>1</v>
      </c>
      <c r="AJ1315">
        <v>108</v>
      </c>
    </row>
    <row r="1316" spans="1:38" x14ac:dyDescent="0.3">
      <c r="A1316">
        <v>349682</v>
      </c>
      <c r="B1316" t="s">
        <v>46</v>
      </c>
      <c r="C1316" t="s">
        <v>690</v>
      </c>
      <c r="D1316">
        <v>2020</v>
      </c>
      <c r="E1316" t="s">
        <v>630</v>
      </c>
      <c r="F1316" t="s">
        <v>631</v>
      </c>
      <c r="P1316">
        <v>2</v>
      </c>
      <c r="Q1316">
        <v>0</v>
      </c>
      <c r="R1316">
        <v>30</v>
      </c>
      <c r="S1316">
        <v>0</v>
      </c>
      <c r="T1316">
        <v>0</v>
      </c>
      <c r="U1316">
        <v>0</v>
      </c>
      <c r="V1316">
        <v>1</v>
      </c>
      <c r="W1316">
        <v>1</v>
      </c>
      <c r="X1316">
        <v>0</v>
      </c>
      <c r="Z1316">
        <v>0</v>
      </c>
    </row>
    <row r="1317" spans="1:38" x14ac:dyDescent="0.3">
      <c r="A1317">
        <v>349682</v>
      </c>
      <c r="B1317" t="s">
        <v>46</v>
      </c>
      <c r="C1317" t="s">
        <v>690</v>
      </c>
      <c r="D1317">
        <v>2021</v>
      </c>
      <c r="E1317" t="s">
        <v>630</v>
      </c>
      <c r="F1317" t="s">
        <v>631</v>
      </c>
      <c r="P1317">
        <v>43</v>
      </c>
      <c r="Q1317">
        <v>4</v>
      </c>
      <c r="R1317">
        <v>577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Z1317">
        <v>0</v>
      </c>
    </row>
    <row r="1318" spans="1:38" x14ac:dyDescent="0.3">
      <c r="A1318">
        <v>349682</v>
      </c>
      <c r="B1318" t="s">
        <v>46</v>
      </c>
      <c r="C1318" t="s">
        <v>690</v>
      </c>
      <c r="D1318">
        <v>2022</v>
      </c>
      <c r="E1318" t="s">
        <v>630</v>
      </c>
      <c r="F1318" t="s">
        <v>631</v>
      </c>
      <c r="P1318">
        <v>60</v>
      </c>
      <c r="Q1318">
        <v>9</v>
      </c>
      <c r="R1318">
        <v>776</v>
      </c>
      <c r="S1318">
        <v>0</v>
      </c>
      <c r="T1318">
        <v>0</v>
      </c>
      <c r="U1318">
        <v>0</v>
      </c>
      <c r="V1318">
        <v>2</v>
      </c>
      <c r="W1318">
        <v>2</v>
      </c>
      <c r="X1318">
        <v>0</v>
      </c>
      <c r="Z1318">
        <v>0</v>
      </c>
      <c r="AF1318">
        <v>4.7</v>
      </c>
      <c r="AG1318">
        <v>23</v>
      </c>
      <c r="AH1318">
        <v>9</v>
      </c>
      <c r="AI1318">
        <v>0</v>
      </c>
      <c r="AJ1318">
        <v>42</v>
      </c>
      <c r="AK1318">
        <v>2</v>
      </c>
      <c r="AL1318">
        <v>2</v>
      </c>
    </row>
    <row r="1319" spans="1:38" x14ac:dyDescent="0.3">
      <c r="A1319">
        <v>349682</v>
      </c>
      <c r="B1319" t="s">
        <v>46</v>
      </c>
      <c r="C1319" t="s">
        <v>690</v>
      </c>
      <c r="D1319">
        <v>2023</v>
      </c>
      <c r="E1319" t="s">
        <v>630</v>
      </c>
      <c r="F1319" t="s">
        <v>631</v>
      </c>
      <c r="P1319">
        <v>47</v>
      </c>
      <c r="Q1319">
        <v>8</v>
      </c>
      <c r="R1319">
        <v>684</v>
      </c>
      <c r="AF1319">
        <v>9.9</v>
      </c>
      <c r="AG1319">
        <v>39</v>
      </c>
      <c r="AH1319">
        <v>9</v>
      </c>
      <c r="AI1319">
        <v>0</v>
      </c>
      <c r="AJ1319">
        <v>89</v>
      </c>
      <c r="AK1319">
        <v>3</v>
      </c>
      <c r="AL1319">
        <v>1</v>
      </c>
    </row>
    <row r="1320" spans="1:38" x14ac:dyDescent="0.3">
      <c r="A1320">
        <v>349682</v>
      </c>
      <c r="B1320" t="s">
        <v>46</v>
      </c>
      <c r="C1320" t="s">
        <v>690</v>
      </c>
      <c r="D1320">
        <v>2024</v>
      </c>
      <c r="E1320" t="s">
        <v>590</v>
      </c>
      <c r="F1320" t="s">
        <v>591</v>
      </c>
      <c r="P1320">
        <v>48</v>
      </c>
      <c r="Q1320">
        <v>6</v>
      </c>
      <c r="R1320">
        <v>621</v>
      </c>
      <c r="AK1320">
        <v>1</v>
      </c>
      <c r="AL1320">
        <v>1</v>
      </c>
    </row>
    <row r="1321" spans="1:38" x14ac:dyDescent="0.3">
      <c r="A1321">
        <v>349763</v>
      </c>
      <c r="B1321" t="s">
        <v>76</v>
      </c>
      <c r="C1321" t="s">
        <v>691</v>
      </c>
      <c r="D1321">
        <v>2020</v>
      </c>
      <c r="E1321" t="s">
        <v>171</v>
      </c>
      <c r="F1321" t="s">
        <v>172</v>
      </c>
      <c r="M1321">
        <v>26</v>
      </c>
      <c r="N1321">
        <v>117</v>
      </c>
      <c r="O1321">
        <v>0</v>
      </c>
      <c r="P1321">
        <v>4</v>
      </c>
      <c r="Q1321">
        <v>0</v>
      </c>
      <c r="R1321">
        <v>24</v>
      </c>
    </row>
    <row r="1322" spans="1:38" x14ac:dyDescent="0.3">
      <c r="A1322">
        <v>349763</v>
      </c>
      <c r="B1322" t="s">
        <v>76</v>
      </c>
      <c r="C1322" t="s">
        <v>691</v>
      </c>
      <c r="D1322">
        <v>2021</v>
      </c>
      <c r="E1322" t="s">
        <v>171</v>
      </c>
      <c r="F1322" t="s">
        <v>172</v>
      </c>
      <c r="M1322">
        <v>140</v>
      </c>
      <c r="N1322">
        <v>792</v>
      </c>
      <c r="O1322">
        <v>9</v>
      </c>
      <c r="P1322">
        <v>9</v>
      </c>
      <c r="Q1322">
        <v>0</v>
      </c>
      <c r="R1322">
        <v>77</v>
      </c>
    </row>
    <row r="1323" spans="1:38" x14ac:dyDescent="0.3">
      <c r="A1323">
        <v>349763</v>
      </c>
      <c r="B1323" t="s">
        <v>76</v>
      </c>
      <c r="C1323" t="s">
        <v>691</v>
      </c>
      <c r="D1323">
        <v>2022</v>
      </c>
      <c r="E1323" t="s">
        <v>171</v>
      </c>
      <c r="F1323" t="s">
        <v>172</v>
      </c>
      <c r="M1323">
        <v>157</v>
      </c>
      <c r="N1323">
        <v>734</v>
      </c>
      <c r="O1323">
        <v>13</v>
      </c>
      <c r="P1323">
        <v>12</v>
      </c>
      <c r="Q1323">
        <v>2</v>
      </c>
      <c r="R1323">
        <v>106</v>
      </c>
    </row>
    <row r="1324" spans="1:38" x14ac:dyDescent="0.3">
      <c r="A1324">
        <v>349763</v>
      </c>
      <c r="B1324" t="s">
        <v>76</v>
      </c>
      <c r="C1324" t="s">
        <v>691</v>
      </c>
      <c r="D1324">
        <v>2023</v>
      </c>
      <c r="E1324" t="s">
        <v>171</v>
      </c>
      <c r="F1324" t="s">
        <v>172</v>
      </c>
      <c r="M1324">
        <v>95</v>
      </c>
      <c r="N1324">
        <v>475</v>
      </c>
      <c r="O1324">
        <v>2</v>
      </c>
      <c r="P1324">
        <v>7</v>
      </c>
      <c r="Q1324">
        <v>0</v>
      </c>
      <c r="R1324">
        <v>40</v>
      </c>
      <c r="AK1324">
        <v>1</v>
      </c>
      <c r="AL1324">
        <v>0</v>
      </c>
    </row>
    <row r="1325" spans="1:38" x14ac:dyDescent="0.3">
      <c r="A1325">
        <v>349825</v>
      </c>
      <c r="B1325" t="s">
        <v>54</v>
      </c>
      <c r="C1325" t="s">
        <v>692</v>
      </c>
      <c r="D1325">
        <v>2021</v>
      </c>
      <c r="E1325" t="s">
        <v>693</v>
      </c>
      <c r="F1325" t="s">
        <v>694</v>
      </c>
      <c r="AK1325">
        <v>2</v>
      </c>
      <c r="AL1325">
        <v>1</v>
      </c>
    </row>
    <row r="1326" spans="1:38" x14ac:dyDescent="0.3">
      <c r="A1326">
        <v>349825</v>
      </c>
      <c r="B1326" t="s">
        <v>54</v>
      </c>
      <c r="C1326" t="s">
        <v>692</v>
      </c>
      <c r="D1326">
        <v>2022</v>
      </c>
      <c r="E1326" t="s">
        <v>693</v>
      </c>
      <c r="F1326" t="s">
        <v>694</v>
      </c>
      <c r="G1326">
        <v>243</v>
      </c>
      <c r="H1326">
        <v>159</v>
      </c>
      <c r="I1326">
        <v>1971</v>
      </c>
      <c r="J1326">
        <v>0.65400000000000003</v>
      </c>
      <c r="K1326">
        <v>13</v>
      </c>
      <c r="L1326">
        <v>5</v>
      </c>
      <c r="M1326">
        <v>122</v>
      </c>
      <c r="N1326">
        <v>561</v>
      </c>
      <c r="O1326">
        <v>15</v>
      </c>
      <c r="AK1326">
        <v>1</v>
      </c>
      <c r="AL1326">
        <v>1</v>
      </c>
    </row>
    <row r="1327" spans="1:38" x14ac:dyDescent="0.3">
      <c r="A1327">
        <v>349825</v>
      </c>
      <c r="B1327" t="s">
        <v>54</v>
      </c>
      <c r="C1327" t="s">
        <v>692</v>
      </c>
      <c r="D1327">
        <v>2023</v>
      </c>
      <c r="E1327" t="s">
        <v>693</v>
      </c>
      <c r="F1327" t="s">
        <v>694</v>
      </c>
      <c r="G1327">
        <v>291</v>
      </c>
      <c r="H1327">
        <v>208</v>
      </c>
      <c r="I1327">
        <v>2687</v>
      </c>
      <c r="J1327">
        <v>0.71499999999999997</v>
      </c>
      <c r="K1327">
        <v>19</v>
      </c>
      <c r="L1327">
        <v>4</v>
      </c>
      <c r="M1327">
        <v>135</v>
      </c>
      <c r="N1327">
        <v>629</v>
      </c>
      <c r="O1327">
        <v>13</v>
      </c>
      <c r="AK1327">
        <v>2</v>
      </c>
      <c r="AL1327">
        <v>1</v>
      </c>
    </row>
    <row r="1328" spans="1:38" x14ac:dyDescent="0.3">
      <c r="A1328">
        <v>349825</v>
      </c>
      <c r="B1328" t="s">
        <v>54</v>
      </c>
      <c r="C1328" t="s">
        <v>692</v>
      </c>
      <c r="D1328">
        <v>2024</v>
      </c>
      <c r="E1328" t="s">
        <v>693</v>
      </c>
      <c r="F1328" t="s">
        <v>694</v>
      </c>
      <c r="G1328">
        <v>351</v>
      </c>
      <c r="H1328">
        <v>258</v>
      </c>
      <c r="I1328">
        <v>3252</v>
      </c>
      <c r="J1328">
        <v>0.73499999999999999</v>
      </c>
      <c r="K1328">
        <v>33</v>
      </c>
      <c r="L1328">
        <v>4</v>
      </c>
      <c r="M1328">
        <v>145</v>
      </c>
      <c r="N1328">
        <v>631</v>
      </c>
      <c r="O1328">
        <v>12</v>
      </c>
      <c r="AK1328">
        <v>1</v>
      </c>
      <c r="AL1328">
        <v>1</v>
      </c>
    </row>
    <row r="1329" spans="1:38" x14ac:dyDescent="0.3">
      <c r="A1329">
        <v>349838</v>
      </c>
      <c r="B1329" t="s">
        <v>42</v>
      </c>
      <c r="C1329" t="s">
        <v>695</v>
      </c>
      <c r="D1329">
        <v>2022</v>
      </c>
      <c r="E1329" t="s">
        <v>693</v>
      </c>
      <c r="F1329" t="s">
        <v>694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2</v>
      </c>
      <c r="Z1329">
        <v>0</v>
      </c>
    </row>
    <row r="1330" spans="1:38" x14ac:dyDescent="0.3">
      <c r="A1330">
        <v>349838</v>
      </c>
      <c r="B1330" t="s">
        <v>42</v>
      </c>
      <c r="C1330" t="s">
        <v>695</v>
      </c>
      <c r="D1330">
        <v>2023</v>
      </c>
      <c r="E1330" t="s">
        <v>549</v>
      </c>
      <c r="F1330" t="s">
        <v>550</v>
      </c>
      <c r="S1330">
        <v>9</v>
      </c>
      <c r="T1330">
        <v>1</v>
      </c>
      <c r="U1330">
        <v>0</v>
      </c>
      <c r="V1330">
        <v>47</v>
      </c>
      <c r="W1330">
        <v>63</v>
      </c>
      <c r="X1330">
        <v>3</v>
      </c>
      <c r="Y1330">
        <v>1</v>
      </c>
      <c r="Z1330">
        <v>0</v>
      </c>
    </row>
    <row r="1331" spans="1:38" x14ac:dyDescent="0.3">
      <c r="A1331">
        <v>349838</v>
      </c>
      <c r="B1331" t="s">
        <v>42</v>
      </c>
      <c r="C1331" t="s">
        <v>695</v>
      </c>
      <c r="D1331">
        <v>2024</v>
      </c>
      <c r="E1331" t="s">
        <v>549</v>
      </c>
      <c r="F1331" t="s">
        <v>550</v>
      </c>
      <c r="S1331">
        <v>3</v>
      </c>
      <c r="T1331">
        <v>0</v>
      </c>
      <c r="U1331">
        <v>0</v>
      </c>
      <c r="V1331">
        <v>38</v>
      </c>
      <c r="W1331">
        <v>60</v>
      </c>
      <c r="X1331">
        <v>6.5</v>
      </c>
      <c r="Y1331">
        <v>3</v>
      </c>
      <c r="Z1331">
        <v>1</v>
      </c>
    </row>
    <row r="1332" spans="1:38" x14ac:dyDescent="0.3">
      <c r="A1332">
        <v>349867</v>
      </c>
      <c r="B1332" t="s">
        <v>42</v>
      </c>
      <c r="C1332" t="s">
        <v>696</v>
      </c>
      <c r="D1332">
        <v>2020</v>
      </c>
      <c r="E1332" t="s">
        <v>393</v>
      </c>
      <c r="F1332" t="s">
        <v>394</v>
      </c>
      <c r="S1332">
        <v>2</v>
      </c>
      <c r="T1332">
        <v>0</v>
      </c>
      <c r="U1332">
        <v>0</v>
      </c>
      <c r="V1332">
        <v>8</v>
      </c>
      <c r="W1332">
        <v>10</v>
      </c>
      <c r="X1332">
        <v>0</v>
      </c>
      <c r="Z1332">
        <v>0</v>
      </c>
    </row>
    <row r="1333" spans="1:38" x14ac:dyDescent="0.3">
      <c r="A1333">
        <v>349867</v>
      </c>
      <c r="B1333" t="s">
        <v>42</v>
      </c>
      <c r="C1333" t="s">
        <v>696</v>
      </c>
      <c r="D1333">
        <v>2021</v>
      </c>
      <c r="E1333" t="s">
        <v>393</v>
      </c>
      <c r="F1333" t="s">
        <v>394</v>
      </c>
      <c r="S1333">
        <v>2</v>
      </c>
      <c r="T1333">
        <v>0</v>
      </c>
      <c r="U1333">
        <v>0</v>
      </c>
      <c r="V1333">
        <v>14</v>
      </c>
      <c r="W1333">
        <v>18</v>
      </c>
      <c r="X1333">
        <v>0</v>
      </c>
      <c r="Y1333">
        <v>1</v>
      </c>
      <c r="Z1333">
        <v>0</v>
      </c>
    </row>
    <row r="1334" spans="1:38" x14ac:dyDescent="0.3">
      <c r="A1334">
        <v>349867</v>
      </c>
      <c r="B1334" t="s">
        <v>42</v>
      </c>
      <c r="C1334" t="s">
        <v>696</v>
      </c>
      <c r="D1334">
        <v>2022</v>
      </c>
      <c r="E1334" t="s">
        <v>393</v>
      </c>
      <c r="F1334" t="s">
        <v>394</v>
      </c>
      <c r="S1334">
        <v>7</v>
      </c>
      <c r="T1334">
        <v>0</v>
      </c>
      <c r="U1334">
        <v>0</v>
      </c>
      <c r="V1334">
        <v>30</v>
      </c>
      <c r="W1334">
        <v>41</v>
      </c>
      <c r="X1334">
        <v>3</v>
      </c>
      <c r="Y1334">
        <v>2</v>
      </c>
      <c r="Z1334">
        <v>0</v>
      </c>
    </row>
    <row r="1335" spans="1:38" x14ac:dyDescent="0.3">
      <c r="A1335">
        <v>349877</v>
      </c>
      <c r="B1335" t="s">
        <v>38</v>
      </c>
      <c r="C1335" t="s">
        <v>697</v>
      </c>
      <c r="D1335">
        <v>2020</v>
      </c>
      <c r="E1335" t="s">
        <v>579</v>
      </c>
      <c r="F1335" t="s">
        <v>580</v>
      </c>
      <c r="S1335">
        <v>0</v>
      </c>
      <c r="T1335">
        <v>0</v>
      </c>
      <c r="U1335">
        <v>1</v>
      </c>
      <c r="V1335">
        <v>5</v>
      </c>
      <c r="W1335">
        <v>9</v>
      </c>
      <c r="X1335">
        <v>1</v>
      </c>
      <c r="Z1335">
        <v>0</v>
      </c>
    </row>
    <row r="1336" spans="1:38" x14ac:dyDescent="0.3">
      <c r="A1336">
        <v>349877</v>
      </c>
      <c r="B1336" t="s">
        <v>38</v>
      </c>
      <c r="C1336" t="s">
        <v>697</v>
      </c>
      <c r="D1336">
        <v>2021</v>
      </c>
      <c r="E1336" t="s">
        <v>579</v>
      </c>
      <c r="F1336" t="s">
        <v>580</v>
      </c>
      <c r="S1336">
        <v>0</v>
      </c>
      <c r="T1336">
        <v>0</v>
      </c>
      <c r="U1336">
        <v>1.5</v>
      </c>
      <c r="V1336">
        <v>5</v>
      </c>
      <c r="W1336">
        <v>17</v>
      </c>
      <c r="X1336">
        <v>2.5</v>
      </c>
      <c r="Z1336">
        <v>0</v>
      </c>
    </row>
    <row r="1337" spans="1:38" x14ac:dyDescent="0.3">
      <c r="A1337">
        <v>349877</v>
      </c>
      <c r="B1337" t="s">
        <v>38</v>
      </c>
      <c r="C1337" t="s">
        <v>697</v>
      </c>
      <c r="D1337">
        <v>2022</v>
      </c>
      <c r="E1337" t="s">
        <v>579</v>
      </c>
      <c r="F1337" t="s">
        <v>580</v>
      </c>
      <c r="S1337">
        <v>0</v>
      </c>
      <c r="T1337">
        <v>0</v>
      </c>
      <c r="U1337">
        <v>0.5</v>
      </c>
      <c r="V1337">
        <v>7</v>
      </c>
      <c r="W1337">
        <v>33</v>
      </c>
      <c r="X1337">
        <v>1</v>
      </c>
      <c r="Z1337">
        <v>0</v>
      </c>
    </row>
    <row r="1338" spans="1:38" x14ac:dyDescent="0.3">
      <c r="A1338">
        <v>349877</v>
      </c>
      <c r="B1338" t="s">
        <v>38</v>
      </c>
      <c r="C1338" t="s">
        <v>697</v>
      </c>
      <c r="D1338">
        <v>2023</v>
      </c>
      <c r="E1338" t="s">
        <v>61</v>
      </c>
      <c r="F1338" t="s">
        <v>62</v>
      </c>
      <c r="S1338">
        <v>0</v>
      </c>
      <c r="T1338">
        <v>0</v>
      </c>
      <c r="U1338">
        <v>0</v>
      </c>
      <c r="V1338">
        <v>9</v>
      </c>
      <c r="W1338">
        <v>17</v>
      </c>
      <c r="X1338">
        <v>2</v>
      </c>
      <c r="Z1338">
        <v>0</v>
      </c>
    </row>
    <row r="1339" spans="1:38" x14ac:dyDescent="0.3">
      <c r="A1339">
        <v>349900</v>
      </c>
      <c r="B1339" t="s">
        <v>84</v>
      </c>
      <c r="C1339" t="s">
        <v>698</v>
      </c>
      <c r="D1339">
        <v>2020</v>
      </c>
      <c r="E1339" t="s">
        <v>630</v>
      </c>
      <c r="F1339" t="s">
        <v>631</v>
      </c>
      <c r="S1339">
        <v>0</v>
      </c>
      <c r="T1339">
        <v>0</v>
      </c>
      <c r="U1339">
        <v>0</v>
      </c>
      <c r="V1339">
        <v>3</v>
      </c>
      <c r="W1339">
        <v>6</v>
      </c>
      <c r="X1339">
        <v>0</v>
      </c>
      <c r="Z1339">
        <v>0</v>
      </c>
      <c r="AK1339">
        <v>0</v>
      </c>
      <c r="AL1339">
        <v>0</v>
      </c>
    </row>
    <row r="1340" spans="1:38" x14ac:dyDescent="0.3">
      <c r="A1340">
        <v>349900</v>
      </c>
      <c r="B1340" t="s">
        <v>84</v>
      </c>
      <c r="C1340" t="s">
        <v>698</v>
      </c>
      <c r="D1340">
        <v>2021</v>
      </c>
      <c r="E1340" t="s">
        <v>630</v>
      </c>
      <c r="F1340" t="s">
        <v>631</v>
      </c>
      <c r="S1340">
        <v>2</v>
      </c>
      <c r="T1340">
        <v>4</v>
      </c>
      <c r="U1340">
        <v>0</v>
      </c>
      <c r="V1340">
        <v>13</v>
      </c>
      <c r="W1340">
        <v>24</v>
      </c>
      <c r="X1340">
        <v>3.5</v>
      </c>
      <c r="Z1340">
        <v>0</v>
      </c>
    </row>
    <row r="1341" spans="1:38" x14ac:dyDescent="0.3">
      <c r="A1341">
        <v>349900</v>
      </c>
      <c r="B1341" t="s">
        <v>84</v>
      </c>
      <c r="C1341" t="s">
        <v>698</v>
      </c>
      <c r="D1341">
        <v>2022</v>
      </c>
      <c r="E1341" t="s">
        <v>630</v>
      </c>
      <c r="F1341" t="s">
        <v>631</v>
      </c>
      <c r="S1341">
        <v>6</v>
      </c>
      <c r="T1341">
        <v>0</v>
      </c>
      <c r="U1341">
        <v>0</v>
      </c>
      <c r="V1341">
        <v>33</v>
      </c>
      <c r="W1341">
        <v>55</v>
      </c>
      <c r="X1341">
        <v>2.5</v>
      </c>
      <c r="Y1341">
        <v>3</v>
      </c>
      <c r="Z1341">
        <v>0</v>
      </c>
    </row>
    <row r="1342" spans="1:38" x14ac:dyDescent="0.3">
      <c r="A1342">
        <v>349900</v>
      </c>
      <c r="B1342" t="s">
        <v>84</v>
      </c>
      <c r="C1342" t="s">
        <v>698</v>
      </c>
      <c r="D1342">
        <v>2023</v>
      </c>
      <c r="E1342" t="s">
        <v>630</v>
      </c>
      <c r="F1342" t="s">
        <v>631</v>
      </c>
      <c r="S1342">
        <v>3</v>
      </c>
      <c r="T1342">
        <v>0</v>
      </c>
      <c r="U1342">
        <v>0</v>
      </c>
      <c r="V1342">
        <v>32</v>
      </c>
      <c r="W1342">
        <v>46</v>
      </c>
      <c r="X1342">
        <v>1</v>
      </c>
      <c r="Y1342">
        <v>2</v>
      </c>
      <c r="Z1342">
        <v>0</v>
      </c>
      <c r="AK1342">
        <v>0</v>
      </c>
      <c r="AL1342">
        <v>0</v>
      </c>
    </row>
    <row r="1343" spans="1:38" x14ac:dyDescent="0.3">
      <c r="A1343">
        <v>349900</v>
      </c>
      <c r="B1343" t="s">
        <v>84</v>
      </c>
      <c r="C1343" t="s">
        <v>698</v>
      </c>
      <c r="D1343">
        <v>2024</v>
      </c>
      <c r="E1343" t="s">
        <v>630</v>
      </c>
      <c r="F1343" t="s">
        <v>631</v>
      </c>
      <c r="S1343">
        <v>2</v>
      </c>
      <c r="T1343">
        <v>0</v>
      </c>
      <c r="U1343">
        <v>0</v>
      </c>
      <c r="V1343">
        <v>35</v>
      </c>
      <c r="W1343">
        <v>47</v>
      </c>
      <c r="X1343">
        <v>1</v>
      </c>
      <c r="Y1343">
        <v>1</v>
      </c>
      <c r="Z1343">
        <v>0</v>
      </c>
      <c r="AK1343">
        <v>0</v>
      </c>
      <c r="AL1343">
        <v>0</v>
      </c>
    </row>
    <row r="1344" spans="1:38" x14ac:dyDescent="0.3">
      <c r="A1344">
        <v>349905</v>
      </c>
      <c r="B1344" t="s">
        <v>38</v>
      </c>
      <c r="C1344" t="s">
        <v>699</v>
      </c>
      <c r="D1344">
        <v>2020</v>
      </c>
      <c r="E1344" t="s">
        <v>173</v>
      </c>
      <c r="F1344" t="s">
        <v>174</v>
      </c>
      <c r="S1344">
        <v>0</v>
      </c>
      <c r="T1344">
        <v>0</v>
      </c>
      <c r="U1344">
        <v>0</v>
      </c>
      <c r="V1344">
        <v>2</v>
      </c>
      <c r="W1344">
        <v>3</v>
      </c>
      <c r="X1344">
        <v>0</v>
      </c>
      <c r="Z1344">
        <v>0</v>
      </c>
    </row>
    <row r="1345" spans="1:38" x14ac:dyDescent="0.3">
      <c r="A1345">
        <v>349905</v>
      </c>
      <c r="B1345" t="s">
        <v>38</v>
      </c>
      <c r="C1345" t="s">
        <v>699</v>
      </c>
      <c r="D1345">
        <v>2021</v>
      </c>
      <c r="E1345" t="s">
        <v>173</v>
      </c>
      <c r="F1345" t="s">
        <v>174</v>
      </c>
      <c r="S1345">
        <v>0</v>
      </c>
      <c r="T1345">
        <v>0</v>
      </c>
      <c r="U1345">
        <v>1</v>
      </c>
      <c r="V1345">
        <v>5</v>
      </c>
      <c r="W1345">
        <v>9</v>
      </c>
      <c r="X1345">
        <v>2</v>
      </c>
      <c r="Z1345">
        <v>0</v>
      </c>
    </row>
    <row r="1346" spans="1:38" x14ac:dyDescent="0.3">
      <c r="A1346">
        <v>349905</v>
      </c>
      <c r="B1346" t="s">
        <v>38</v>
      </c>
      <c r="C1346" t="s">
        <v>699</v>
      </c>
      <c r="D1346">
        <v>2022</v>
      </c>
      <c r="E1346" t="s">
        <v>173</v>
      </c>
      <c r="F1346" t="s">
        <v>174</v>
      </c>
      <c r="S1346">
        <v>0</v>
      </c>
      <c r="T1346">
        <v>1</v>
      </c>
      <c r="U1346">
        <v>0</v>
      </c>
      <c r="V1346">
        <v>12</v>
      </c>
      <c r="W1346">
        <v>27</v>
      </c>
      <c r="X1346">
        <v>2.5</v>
      </c>
      <c r="Z1346">
        <v>0</v>
      </c>
    </row>
    <row r="1347" spans="1:38" x14ac:dyDescent="0.3">
      <c r="A1347">
        <v>349905</v>
      </c>
      <c r="B1347" t="s">
        <v>38</v>
      </c>
      <c r="C1347" t="s">
        <v>699</v>
      </c>
      <c r="D1347">
        <v>2023</v>
      </c>
      <c r="E1347" t="s">
        <v>173</v>
      </c>
      <c r="F1347" t="s">
        <v>174</v>
      </c>
      <c r="S1347">
        <v>1</v>
      </c>
      <c r="T1347">
        <v>0</v>
      </c>
      <c r="U1347">
        <v>2</v>
      </c>
      <c r="V1347">
        <v>13</v>
      </c>
      <c r="W1347">
        <v>24</v>
      </c>
      <c r="X1347">
        <v>3</v>
      </c>
      <c r="Y1347">
        <v>1</v>
      </c>
      <c r="Z1347">
        <v>0</v>
      </c>
    </row>
    <row r="1348" spans="1:38" x14ac:dyDescent="0.3">
      <c r="A1348">
        <v>349905</v>
      </c>
      <c r="B1348" t="s">
        <v>38</v>
      </c>
      <c r="C1348" t="s">
        <v>699</v>
      </c>
      <c r="D1348">
        <v>2024</v>
      </c>
      <c r="E1348" t="s">
        <v>173</v>
      </c>
      <c r="F1348" t="s">
        <v>174</v>
      </c>
      <c r="S1348">
        <v>1</v>
      </c>
      <c r="T1348">
        <v>0</v>
      </c>
      <c r="U1348">
        <v>0</v>
      </c>
      <c r="V1348">
        <v>10</v>
      </c>
      <c r="W1348">
        <v>27</v>
      </c>
      <c r="X1348">
        <v>1</v>
      </c>
      <c r="Z1348">
        <v>0</v>
      </c>
    </row>
    <row r="1349" spans="1:38" x14ac:dyDescent="0.3">
      <c r="A1349">
        <v>350070</v>
      </c>
      <c r="B1349" t="s">
        <v>84</v>
      </c>
      <c r="C1349" t="s">
        <v>700</v>
      </c>
      <c r="D1349">
        <v>2020</v>
      </c>
      <c r="E1349" t="s">
        <v>145</v>
      </c>
      <c r="F1349" t="s">
        <v>146</v>
      </c>
      <c r="S1349">
        <v>0</v>
      </c>
      <c r="T1349">
        <v>0</v>
      </c>
      <c r="U1349">
        <v>0</v>
      </c>
      <c r="V1349">
        <v>0</v>
      </c>
      <c r="W1349">
        <v>2</v>
      </c>
      <c r="X1349">
        <v>0</v>
      </c>
      <c r="Z1349">
        <v>0</v>
      </c>
    </row>
    <row r="1350" spans="1:38" x14ac:dyDescent="0.3">
      <c r="A1350">
        <v>350070</v>
      </c>
      <c r="B1350" t="s">
        <v>84</v>
      </c>
      <c r="C1350" t="s">
        <v>700</v>
      </c>
      <c r="D1350">
        <v>2021</v>
      </c>
      <c r="E1350" t="s">
        <v>145</v>
      </c>
      <c r="F1350" t="s">
        <v>146</v>
      </c>
      <c r="S1350">
        <v>0</v>
      </c>
      <c r="T1350">
        <v>0</v>
      </c>
      <c r="U1350">
        <v>0</v>
      </c>
      <c r="V1350">
        <v>5</v>
      </c>
      <c r="W1350">
        <v>7</v>
      </c>
      <c r="X1350">
        <v>0</v>
      </c>
      <c r="Z1350">
        <v>0</v>
      </c>
    </row>
    <row r="1351" spans="1:38" x14ac:dyDescent="0.3">
      <c r="A1351">
        <v>350070</v>
      </c>
      <c r="B1351" t="s">
        <v>84</v>
      </c>
      <c r="C1351" t="s">
        <v>700</v>
      </c>
      <c r="D1351">
        <v>2022</v>
      </c>
      <c r="E1351" t="s">
        <v>145</v>
      </c>
      <c r="F1351" t="s">
        <v>146</v>
      </c>
      <c r="S1351">
        <v>0</v>
      </c>
      <c r="T1351">
        <v>0</v>
      </c>
      <c r="U1351">
        <v>0</v>
      </c>
      <c r="V1351">
        <v>3</v>
      </c>
      <c r="W1351">
        <v>5</v>
      </c>
      <c r="X1351">
        <v>0</v>
      </c>
      <c r="Z1351">
        <v>0</v>
      </c>
    </row>
    <row r="1352" spans="1:38" x14ac:dyDescent="0.3">
      <c r="A1352">
        <v>350070</v>
      </c>
      <c r="B1352" t="s">
        <v>84</v>
      </c>
      <c r="C1352" t="s">
        <v>700</v>
      </c>
      <c r="D1352">
        <v>2023</v>
      </c>
      <c r="E1352" t="s">
        <v>414</v>
      </c>
      <c r="F1352" t="s">
        <v>415</v>
      </c>
      <c r="S1352">
        <v>2</v>
      </c>
      <c r="T1352">
        <v>2</v>
      </c>
      <c r="U1352">
        <v>2.5</v>
      </c>
      <c r="V1352">
        <v>42</v>
      </c>
      <c r="W1352">
        <v>97</v>
      </c>
      <c r="X1352">
        <v>9</v>
      </c>
      <c r="Y1352">
        <v>1</v>
      </c>
      <c r="Z1352">
        <v>0</v>
      </c>
    </row>
    <row r="1353" spans="1:38" x14ac:dyDescent="0.3">
      <c r="A1353">
        <v>350070</v>
      </c>
      <c r="B1353" t="s">
        <v>84</v>
      </c>
      <c r="C1353" t="s">
        <v>700</v>
      </c>
      <c r="D1353">
        <v>2024</v>
      </c>
      <c r="E1353" t="s">
        <v>414</v>
      </c>
      <c r="F1353" t="s">
        <v>415</v>
      </c>
      <c r="S1353">
        <v>12</v>
      </c>
      <c r="T1353">
        <v>4</v>
      </c>
      <c r="U1353">
        <v>3.5</v>
      </c>
      <c r="V1353">
        <v>69</v>
      </c>
      <c r="W1353">
        <v>135</v>
      </c>
      <c r="X1353">
        <v>17</v>
      </c>
      <c r="Y1353">
        <v>4</v>
      </c>
      <c r="Z1353">
        <v>1</v>
      </c>
      <c r="AA1353">
        <v>3</v>
      </c>
      <c r="AB1353">
        <v>3</v>
      </c>
      <c r="AC1353">
        <v>1</v>
      </c>
      <c r="AD1353">
        <v>0</v>
      </c>
      <c r="AE1353">
        <v>3</v>
      </c>
      <c r="AK1353">
        <v>0</v>
      </c>
      <c r="AL1353">
        <v>0</v>
      </c>
    </row>
    <row r="1354" spans="1:38" x14ac:dyDescent="0.3">
      <c r="A1354">
        <v>350095</v>
      </c>
      <c r="B1354" t="s">
        <v>178</v>
      </c>
      <c r="C1354" t="s">
        <v>701</v>
      </c>
      <c r="D1354">
        <v>2021</v>
      </c>
      <c r="E1354" t="s">
        <v>411</v>
      </c>
      <c r="F1354" t="s">
        <v>412</v>
      </c>
      <c r="P1354">
        <v>0</v>
      </c>
      <c r="Q1354">
        <v>0</v>
      </c>
      <c r="R1354">
        <v>2</v>
      </c>
    </row>
    <row r="1355" spans="1:38" x14ac:dyDescent="0.3">
      <c r="A1355">
        <v>350163</v>
      </c>
      <c r="B1355" t="s">
        <v>84</v>
      </c>
      <c r="C1355" t="s">
        <v>702</v>
      </c>
      <c r="D1355">
        <v>2020</v>
      </c>
      <c r="E1355" t="s">
        <v>418</v>
      </c>
      <c r="F1355" t="s">
        <v>419</v>
      </c>
      <c r="S1355">
        <v>0</v>
      </c>
      <c r="T1355">
        <v>0</v>
      </c>
      <c r="U1355">
        <v>0</v>
      </c>
      <c r="V1355">
        <v>2</v>
      </c>
      <c r="W1355">
        <v>2</v>
      </c>
      <c r="X1355">
        <v>0</v>
      </c>
      <c r="Z1355">
        <v>0</v>
      </c>
    </row>
    <row r="1356" spans="1:38" x14ac:dyDescent="0.3">
      <c r="A1356">
        <v>350163</v>
      </c>
      <c r="B1356" t="s">
        <v>84</v>
      </c>
      <c r="C1356" t="s">
        <v>702</v>
      </c>
      <c r="D1356">
        <v>2021</v>
      </c>
      <c r="E1356" t="s">
        <v>418</v>
      </c>
      <c r="F1356" t="s">
        <v>419</v>
      </c>
      <c r="S1356">
        <v>0</v>
      </c>
      <c r="T1356">
        <v>0</v>
      </c>
      <c r="U1356">
        <v>0</v>
      </c>
      <c r="V1356">
        <v>3</v>
      </c>
      <c r="W1356">
        <v>5</v>
      </c>
      <c r="X1356">
        <v>0</v>
      </c>
      <c r="Z1356">
        <v>0</v>
      </c>
      <c r="AK1356">
        <v>0</v>
      </c>
      <c r="AL1356">
        <v>0</v>
      </c>
    </row>
    <row r="1357" spans="1:38" x14ac:dyDescent="0.3">
      <c r="A1357">
        <v>350163</v>
      </c>
      <c r="B1357" t="s">
        <v>84</v>
      </c>
      <c r="C1357" t="s">
        <v>702</v>
      </c>
      <c r="D1357">
        <v>2022</v>
      </c>
      <c r="E1357" t="s">
        <v>418</v>
      </c>
      <c r="F1357" t="s">
        <v>419</v>
      </c>
      <c r="S1357">
        <v>0</v>
      </c>
      <c r="T1357">
        <v>0</v>
      </c>
      <c r="U1357">
        <v>0.5</v>
      </c>
      <c r="V1357">
        <v>20</v>
      </c>
      <c r="W1357">
        <v>38</v>
      </c>
      <c r="X1357">
        <v>1.5</v>
      </c>
      <c r="Z1357">
        <v>0</v>
      </c>
      <c r="AF1357">
        <v>3</v>
      </c>
      <c r="AG1357">
        <v>3</v>
      </c>
      <c r="AH1357">
        <v>1</v>
      </c>
      <c r="AI1357">
        <v>0</v>
      </c>
      <c r="AJ1357">
        <v>3</v>
      </c>
    </row>
    <row r="1358" spans="1:38" x14ac:dyDescent="0.3">
      <c r="A1358">
        <v>350163</v>
      </c>
      <c r="B1358" t="s">
        <v>84</v>
      </c>
      <c r="C1358" t="s">
        <v>702</v>
      </c>
      <c r="D1358">
        <v>2023</v>
      </c>
      <c r="E1358" t="s">
        <v>418</v>
      </c>
      <c r="F1358" t="s">
        <v>419</v>
      </c>
      <c r="S1358">
        <v>3</v>
      </c>
      <c r="T1358">
        <v>3</v>
      </c>
      <c r="U1358">
        <v>2</v>
      </c>
      <c r="V1358">
        <v>79</v>
      </c>
      <c r="W1358">
        <v>171</v>
      </c>
      <c r="X1358">
        <v>5</v>
      </c>
      <c r="Y1358">
        <v>1</v>
      </c>
      <c r="Z1358">
        <v>0</v>
      </c>
      <c r="AK1358">
        <v>0</v>
      </c>
      <c r="AL1358">
        <v>0</v>
      </c>
    </row>
    <row r="1359" spans="1:38" x14ac:dyDescent="0.3">
      <c r="A1359">
        <v>350163</v>
      </c>
      <c r="B1359" t="s">
        <v>84</v>
      </c>
      <c r="C1359" t="s">
        <v>702</v>
      </c>
      <c r="D1359">
        <v>2024</v>
      </c>
      <c r="E1359" t="s">
        <v>418</v>
      </c>
      <c r="F1359" t="s">
        <v>419</v>
      </c>
      <c r="S1359">
        <v>5</v>
      </c>
      <c r="T1359">
        <v>6</v>
      </c>
      <c r="U1359">
        <v>1</v>
      </c>
      <c r="V1359">
        <v>53</v>
      </c>
      <c r="W1359">
        <v>124</v>
      </c>
      <c r="X1359">
        <v>2.5</v>
      </c>
      <c r="Y1359">
        <v>4</v>
      </c>
      <c r="Z1359">
        <v>0</v>
      </c>
      <c r="AK1359">
        <v>0</v>
      </c>
      <c r="AL1359">
        <v>0</v>
      </c>
    </row>
    <row r="1360" spans="1:38" x14ac:dyDescent="0.3">
      <c r="A1360">
        <v>350170</v>
      </c>
      <c r="B1360" t="s">
        <v>214</v>
      </c>
      <c r="C1360" t="s">
        <v>703</v>
      </c>
      <c r="D1360">
        <v>2020</v>
      </c>
      <c r="E1360" t="s">
        <v>420</v>
      </c>
      <c r="F1360" t="s">
        <v>421</v>
      </c>
      <c r="S1360">
        <v>0</v>
      </c>
      <c r="T1360">
        <v>0</v>
      </c>
      <c r="U1360">
        <v>0</v>
      </c>
      <c r="V1360">
        <v>1</v>
      </c>
      <c r="W1360">
        <v>1</v>
      </c>
      <c r="X1360">
        <v>0</v>
      </c>
      <c r="Z1360">
        <v>0</v>
      </c>
    </row>
    <row r="1361" spans="1:38" x14ac:dyDescent="0.3">
      <c r="A1361">
        <v>350170</v>
      </c>
      <c r="B1361" t="s">
        <v>214</v>
      </c>
      <c r="C1361" t="s">
        <v>703</v>
      </c>
      <c r="D1361">
        <v>2022</v>
      </c>
      <c r="E1361" t="s">
        <v>420</v>
      </c>
      <c r="F1361" t="s">
        <v>421</v>
      </c>
      <c r="S1361">
        <v>0</v>
      </c>
      <c r="T1361">
        <v>0</v>
      </c>
      <c r="U1361">
        <v>0</v>
      </c>
      <c r="V1361">
        <v>1</v>
      </c>
      <c r="W1361">
        <v>1</v>
      </c>
      <c r="X1361">
        <v>0</v>
      </c>
      <c r="Z1361">
        <v>0</v>
      </c>
    </row>
    <row r="1362" spans="1:38" x14ac:dyDescent="0.3">
      <c r="A1362">
        <v>350170</v>
      </c>
      <c r="B1362" t="s">
        <v>214</v>
      </c>
      <c r="C1362" t="s">
        <v>703</v>
      </c>
      <c r="D1362">
        <v>2024</v>
      </c>
      <c r="E1362" t="s">
        <v>420</v>
      </c>
      <c r="F1362" t="s">
        <v>421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Z1362">
        <v>0</v>
      </c>
    </row>
    <row r="1363" spans="1:38" x14ac:dyDescent="0.3">
      <c r="A1363">
        <v>350247</v>
      </c>
      <c r="B1363" t="s">
        <v>42</v>
      </c>
      <c r="C1363" t="s">
        <v>704</v>
      </c>
      <c r="D1363">
        <v>2020</v>
      </c>
      <c r="E1363" t="s">
        <v>249</v>
      </c>
      <c r="F1363" t="s">
        <v>250</v>
      </c>
      <c r="S1363">
        <v>0</v>
      </c>
      <c r="T1363">
        <v>0</v>
      </c>
      <c r="U1363">
        <v>0</v>
      </c>
      <c r="V1363">
        <v>5</v>
      </c>
      <c r="W1363">
        <v>5</v>
      </c>
      <c r="X1363">
        <v>0</v>
      </c>
      <c r="Z1363">
        <v>0</v>
      </c>
    </row>
    <row r="1364" spans="1:38" x14ac:dyDescent="0.3">
      <c r="A1364">
        <v>350247</v>
      </c>
      <c r="B1364" t="s">
        <v>42</v>
      </c>
      <c r="C1364" t="s">
        <v>704</v>
      </c>
      <c r="D1364">
        <v>2021</v>
      </c>
      <c r="E1364" t="s">
        <v>249</v>
      </c>
      <c r="F1364" t="s">
        <v>250</v>
      </c>
      <c r="S1364">
        <v>0</v>
      </c>
      <c r="T1364">
        <v>0</v>
      </c>
      <c r="U1364">
        <v>0</v>
      </c>
      <c r="V1364">
        <v>5</v>
      </c>
      <c r="W1364">
        <v>6</v>
      </c>
      <c r="X1364">
        <v>0</v>
      </c>
      <c r="Y1364">
        <v>2</v>
      </c>
      <c r="Z1364">
        <v>0</v>
      </c>
    </row>
    <row r="1365" spans="1:38" x14ac:dyDescent="0.3">
      <c r="A1365">
        <v>350247</v>
      </c>
      <c r="B1365" t="s">
        <v>42</v>
      </c>
      <c r="C1365" t="s">
        <v>704</v>
      </c>
      <c r="D1365">
        <v>2022</v>
      </c>
      <c r="E1365" t="s">
        <v>303</v>
      </c>
      <c r="F1365" t="s">
        <v>304</v>
      </c>
      <c r="S1365">
        <v>3</v>
      </c>
      <c r="T1365">
        <v>1</v>
      </c>
      <c r="U1365">
        <v>1</v>
      </c>
      <c r="V1365">
        <v>35</v>
      </c>
      <c r="W1365">
        <v>51</v>
      </c>
      <c r="X1365">
        <v>4</v>
      </c>
      <c r="Y1365">
        <v>1</v>
      </c>
      <c r="Z1365">
        <v>0</v>
      </c>
    </row>
    <row r="1366" spans="1:38" x14ac:dyDescent="0.3">
      <c r="A1366">
        <v>350247</v>
      </c>
      <c r="B1366" t="s">
        <v>42</v>
      </c>
      <c r="C1366" t="s">
        <v>704</v>
      </c>
      <c r="D1366">
        <v>2023</v>
      </c>
      <c r="E1366" t="s">
        <v>303</v>
      </c>
      <c r="F1366" t="s">
        <v>304</v>
      </c>
      <c r="S1366">
        <v>3</v>
      </c>
      <c r="T1366">
        <v>0</v>
      </c>
      <c r="U1366">
        <v>0</v>
      </c>
      <c r="V1366">
        <v>30</v>
      </c>
      <c r="W1366">
        <v>37</v>
      </c>
      <c r="X1366">
        <v>1</v>
      </c>
      <c r="Z1366">
        <v>0</v>
      </c>
    </row>
    <row r="1367" spans="1:38" x14ac:dyDescent="0.3">
      <c r="A1367">
        <v>350269</v>
      </c>
      <c r="B1367" t="s">
        <v>84</v>
      </c>
      <c r="C1367" t="s">
        <v>705</v>
      </c>
      <c r="D1367">
        <v>2020</v>
      </c>
      <c r="E1367" t="s">
        <v>67</v>
      </c>
      <c r="F1367" t="s">
        <v>68</v>
      </c>
      <c r="S1367">
        <v>1</v>
      </c>
      <c r="T1367">
        <v>0</v>
      </c>
      <c r="U1367">
        <v>0</v>
      </c>
      <c r="V1367">
        <v>6</v>
      </c>
      <c r="W1367">
        <v>9</v>
      </c>
      <c r="X1367">
        <v>0.5</v>
      </c>
      <c r="Z1367">
        <v>0</v>
      </c>
    </row>
    <row r="1368" spans="1:38" x14ac:dyDescent="0.3">
      <c r="A1368">
        <v>350269</v>
      </c>
      <c r="B1368" t="s">
        <v>84</v>
      </c>
      <c r="C1368" t="s">
        <v>705</v>
      </c>
      <c r="D1368">
        <v>2021</v>
      </c>
      <c r="E1368" t="s">
        <v>67</v>
      </c>
      <c r="F1368" t="s">
        <v>68</v>
      </c>
      <c r="P1368">
        <v>1</v>
      </c>
      <c r="Q1368">
        <v>0</v>
      </c>
      <c r="R1368">
        <v>18</v>
      </c>
      <c r="S1368">
        <v>0</v>
      </c>
      <c r="T1368">
        <v>1</v>
      </c>
      <c r="U1368">
        <v>3</v>
      </c>
      <c r="V1368">
        <v>39</v>
      </c>
      <c r="W1368">
        <v>61</v>
      </c>
      <c r="X1368">
        <v>7</v>
      </c>
      <c r="Y1368">
        <v>1</v>
      </c>
      <c r="Z1368">
        <v>0</v>
      </c>
    </row>
    <row r="1369" spans="1:38" x14ac:dyDescent="0.3">
      <c r="A1369">
        <v>350269</v>
      </c>
      <c r="B1369" t="s">
        <v>84</v>
      </c>
      <c r="C1369" t="s">
        <v>705</v>
      </c>
      <c r="D1369">
        <v>2022</v>
      </c>
      <c r="E1369" t="s">
        <v>67</v>
      </c>
      <c r="F1369" t="s">
        <v>68</v>
      </c>
      <c r="S1369">
        <v>2</v>
      </c>
      <c r="T1369">
        <v>2</v>
      </c>
      <c r="U1369">
        <v>4</v>
      </c>
      <c r="V1369">
        <v>27</v>
      </c>
      <c r="W1369">
        <v>49</v>
      </c>
      <c r="X1369">
        <v>7.5</v>
      </c>
      <c r="Y1369">
        <v>1</v>
      </c>
      <c r="Z1369">
        <v>1</v>
      </c>
      <c r="AK1369">
        <v>0</v>
      </c>
      <c r="AL1369">
        <v>0</v>
      </c>
    </row>
    <row r="1370" spans="1:38" x14ac:dyDescent="0.3">
      <c r="A1370">
        <v>350269</v>
      </c>
      <c r="B1370" t="s">
        <v>84</v>
      </c>
      <c r="C1370" t="s">
        <v>705</v>
      </c>
      <c r="D1370">
        <v>2023</v>
      </c>
      <c r="E1370" t="s">
        <v>67</v>
      </c>
      <c r="F1370" t="s">
        <v>68</v>
      </c>
      <c r="S1370">
        <v>0</v>
      </c>
      <c r="T1370">
        <v>5</v>
      </c>
      <c r="U1370">
        <v>2.5</v>
      </c>
      <c r="V1370">
        <v>31</v>
      </c>
      <c r="W1370">
        <v>50</v>
      </c>
      <c r="X1370">
        <v>9</v>
      </c>
      <c r="Z1370">
        <v>0</v>
      </c>
      <c r="AK1370">
        <v>0</v>
      </c>
      <c r="AL1370">
        <v>0</v>
      </c>
    </row>
    <row r="1371" spans="1:38" x14ac:dyDescent="0.3">
      <c r="A1371">
        <v>350271</v>
      </c>
      <c r="B1371" t="s">
        <v>46</v>
      </c>
      <c r="C1371" t="s">
        <v>706</v>
      </c>
      <c r="D1371">
        <v>2020</v>
      </c>
      <c r="E1371" t="s">
        <v>67</v>
      </c>
      <c r="F1371" t="s">
        <v>68</v>
      </c>
      <c r="P1371">
        <v>14</v>
      </c>
      <c r="Q1371">
        <v>0</v>
      </c>
      <c r="R1371">
        <v>132</v>
      </c>
    </row>
    <row r="1372" spans="1:38" x14ac:dyDescent="0.3">
      <c r="A1372">
        <v>350271</v>
      </c>
      <c r="B1372" t="s">
        <v>46</v>
      </c>
      <c r="C1372" t="s">
        <v>706</v>
      </c>
      <c r="D1372">
        <v>2021</v>
      </c>
      <c r="E1372" t="s">
        <v>67</v>
      </c>
      <c r="F1372" t="s">
        <v>68</v>
      </c>
      <c r="P1372">
        <v>34</v>
      </c>
      <c r="Q1372">
        <v>3</v>
      </c>
      <c r="R1372">
        <v>521</v>
      </c>
      <c r="S1372">
        <v>0</v>
      </c>
      <c r="T1372">
        <v>0</v>
      </c>
      <c r="U1372">
        <v>0</v>
      </c>
      <c r="V1372">
        <v>2</v>
      </c>
      <c r="W1372">
        <v>2</v>
      </c>
      <c r="X1372">
        <v>0</v>
      </c>
      <c r="Z1372">
        <v>0</v>
      </c>
    </row>
    <row r="1373" spans="1:38" x14ac:dyDescent="0.3">
      <c r="A1373">
        <v>350271</v>
      </c>
      <c r="B1373" t="s">
        <v>46</v>
      </c>
      <c r="C1373" t="s">
        <v>706</v>
      </c>
      <c r="D1373">
        <v>2022</v>
      </c>
      <c r="E1373" t="s">
        <v>67</v>
      </c>
      <c r="F1373" t="s">
        <v>68</v>
      </c>
      <c r="G1373">
        <v>2</v>
      </c>
      <c r="H1373">
        <v>2</v>
      </c>
      <c r="I1373">
        <v>73</v>
      </c>
      <c r="J1373">
        <v>1</v>
      </c>
      <c r="K1373">
        <v>1</v>
      </c>
      <c r="L1373">
        <v>0</v>
      </c>
      <c r="P1373">
        <v>24</v>
      </c>
      <c r="Q1373">
        <v>4</v>
      </c>
      <c r="R1373">
        <v>389</v>
      </c>
    </row>
    <row r="1374" spans="1:38" x14ac:dyDescent="0.3">
      <c r="A1374">
        <v>350271</v>
      </c>
      <c r="B1374" t="s">
        <v>46</v>
      </c>
      <c r="C1374" t="s">
        <v>706</v>
      </c>
      <c r="D1374">
        <v>2023</v>
      </c>
      <c r="E1374" t="s">
        <v>67</v>
      </c>
      <c r="F1374" t="s">
        <v>68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</v>
      </c>
      <c r="N1374">
        <v>0</v>
      </c>
      <c r="O1374">
        <v>0</v>
      </c>
      <c r="P1374">
        <v>53</v>
      </c>
      <c r="Q1374">
        <v>4</v>
      </c>
      <c r="R1374">
        <v>673</v>
      </c>
    </row>
    <row r="1375" spans="1:38" x14ac:dyDescent="0.3">
      <c r="A1375">
        <v>350271</v>
      </c>
      <c r="B1375" t="s">
        <v>46</v>
      </c>
      <c r="C1375" t="s">
        <v>706</v>
      </c>
      <c r="D1375">
        <v>2024</v>
      </c>
      <c r="E1375" t="s">
        <v>61</v>
      </c>
      <c r="F1375" t="s">
        <v>62</v>
      </c>
      <c r="P1375">
        <v>50</v>
      </c>
      <c r="Q1375">
        <v>8</v>
      </c>
      <c r="R1375">
        <v>981</v>
      </c>
      <c r="S1375">
        <v>0</v>
      </c>
      <c r="T1375">
        <v>0</v>
      </c>
      <c r="U1375">
        <v>0</v>
      </c>
      <c r="V1375">
        <v>1</v>
      </c>
      <c r="W1375">
        <v>1</v>
      </c>
      <c r="X1375">
        <v>0</v>
      </c>
      <c r="Z1375">
        <v>0</v>
      </c>
    </row>
    <row r="1376" spans="1:38" x14ac:dyDescent="0.3">
      <c r="A1376">
        <v>350287</v>
      </c>
      <c r="B1376" t="s">
        <v>46</v>
      </c>
      <c r="C1376" t="s">
        <v>707</v>
      </c>
      <c r="D1376">
        <v>2021</v>
      </c>
      <c r="E1376" t="s">
        <v>116</v>
      </c>
      <c r="F1376" t="s">
        <v>117</v>
      </c>
      <c r="P1376">
        <v>21</v>
      </c>
      <c r="Q1376">
        <v>1</v>
      </c>
      <c r="R1376">
        <v>239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Z1376">
        <v>0</v>
      </c>
    </row>
    <row r="1377" spans="1:38" x14ac:dyDescent="0.3">
      <c r="A1377">
        <v>350287</v>
      </c>
      <c r="B1377" t="s">
        <v>46</v>
      </c>
      <c r="C1377" t="s">
        <v>707</v>
      </c>
      <c r="D1377">
        <v>2022</v>
      </c>
      <c r="E1377" t="s">
        <v>116</v>
      </c>
      <c r="F1377" t="s">
        <v>117</v>
      </c>
      <c r="P1377">
        <v>25</v>
      </c>
      <c r="Q1377">
        <v>6</v>
      </c>
      <c r="R1377">
        <v>331</v>
      </c>
    </row>
    <row r="1378" spans="1:38" x14ac:dyDescent="0.3">
      <c r="A1378">
        <v>350287</v>
      </c>
      <c r="B1378" t="s">
        <v>46</v>
      </c>
      <c r="C1378" t="s">
        <v>707</v>
      </c>
      <c r="D1378">
        <v>2023</v>
      </c>
      <c r="E1378" t="s">
        <v>102</v>
      </c>
      <c r="F1378" t="s">
        <v>103</v>
      </c>
      <c r="M1378">
        <v>2</v>
      </c>
      <c r="N1378">
        <v>12</v>
      </c>
      <c r="O1378">
        <v>1</v>
      </c>
      <c r="P1378">
        <v>37</v>
      </c>
      <c r="Q1378">
        <v>6</v>
      </c>
      <c r="R1378">
        <v>452</v>
      </c>
      <c r="S1378">
        <v>0</v>
      </c>
      <c r="T1378">
        <v>0</v>
      </c>
      <c r="U1378">
        <v>0</v>
      </c>
      <c r="V1378">
        <v>1</v>
      </c>
      <c r="W1378">
        <v>1</v>
      </c>
      <c r="X1378">
        <v>0</v>
      </c>
      <c r="Z1378">
        <v>0</v>
      </c>
    </row>
    <row r="1379" spans="1:38" x14ac:dyDescent="0.3">
      <c r="A1379">
        <v>350287</v>
      </c>
      <c r="B1379" t="s">
        <v>46</v>
      </c>
      <c r="C1379" t="s">
        <v>707</v>
      </c>
      <c r="D1379">
        <v>2024</v>
      </c>
      <c r="E1379" t="s">
        <v>102</v>
      </c>
      <c r="F1379" t="s">
        <v>103</v>
      </c>
      <c r="M1379">
        <v>2</v>
      </c>
      <c r="N1379">
        <v>22</v>
      </c>
      <c r="O1379">
        <v>0</v>
      </c>
      <c r="P1379">
        <v>45</v>
      </c>
      <c r="Q1379">
        <v>5</v>
      </c>
      <c r="R1379">
        <v>718</v>
      </c>
      <c r="AK1379">
        <v>1</v>
      </c>
      <c r="AL1379">
        <v>0</v>
      </c>
    </row>
    <row r="1380" spans="1:38" x14ac:dyDescent="0.3">
      <c r="A1380">
        <v>350319</v>
      </c>
      <c r="B1380" t="s">
        <v>100</v>
      </c>
      <c r="C1380" t="s">
        <v>708</v>
      </c>
      <c r="D1380">
        <v>2022</v>
      </c>
      <c r="E1380" t="s">
        <v>95</v>
      </c>
      <c r="F1380" t="s">
        <v>96</v>
      </c>
      <c r="S1380">
        <v>0</v>
      </c>
      <c r="T1380">
        <v>0</v>
      </c>
      <c r="U1380">
        <v>0</v>
      </c>
      <c r="V1380">
        <v>1</v>
      </c>
      <c r="W1380">
        <v>1</v>
      </c>
      <c r="X1380">
        <v>0</v>
      </c>
      <c r="Z1380">
        <v>0</v>
      </c>
    </row>
    <row r="1381" spans="1:38" x14ac:dyDescent="0.3">
      <c r="A1381">
        <v>350438</v>
      </c>
      <c r="B1381" t="s">
        <v>50</v>
      </c>
      <c r="C1381" t="s">
        <v>709</v>
      </c>
      <c r="D1381">
        <v>2021</v>
      </c>
      <c r="E1381" t="s">
        <v>89</v>
      </c>
      <c r="F1381" t="s">
        <v>90</v>
      </c>
      <c r="S1381">
        <v>0</v>
      </c>
      <c r="T1381">
        <v>0</v>
      </c>
      <c r="U1381">
        <v>0</v>
      </c>
      <c r="V1381">
        <v>2</v>
      </c>
      <c r="W1381">
        <v>5</v>
      </c>
      <c r="X1381">
        <v>0</v>
      </c>
      <c r="Z1381">
        <v>0</v>
      </c>
    </row>
    <row r="1382" spans="1:38" x14ac:dyDescent="0.3">
      <c r="A1382">
        <v>350438</v>
      </c>
      <c r="B1382" t="s">
        <v>50</v>
      </c>
      <c r="C1382" t="s">
        <v>709</v>
      </c>
      <c r="D1382">
        <v>2022</v>
      </c>
      <c r="E1382" t="s">
        <v>89</v>
      </c>
      <c r="F1382" t="s">
        <v>90</v>
      </c>
      <c r="S1382">
        <v>3</v>
      </c>
      <c r="T1382">
        <v>0</v>
      </c>
      <c r="U1382">
        <v>0</v>
      </c>
      <c r="V1382">
        <v>16</v>
      </c>
      <c r="W1382">
        <v>25</v>
      </c>
      <c r="X1382">
        <v>0</v>
      </c>
      <c r="Y1382">
        <v>1</v>
      </c>
      <c r="Z1382">
        <v>0</v>
      </c>
    </row>
    <row r="1383" spans="1:38" x14ac:dyDescent="0.3">
      <c r="A1383">
        <v>350438</v>
      </c>
      <c r="B1383" t="s">
        <v>50</v>
      </c>
      <c r="C1383" t="s">
        <v>709</v>
      </c>
      <c r="D1383">
        <v>2023</v>
      </c>
      <c r="E1383" t="s">
        <v>89</v>
      </c>
      <c r="F1383" t="s">
        <v>90</v>
      </c>
      <c r="S1383">
        <v>2</v>
      </c>
      <c r="T1383">
        <v>0</v>
      </c>
      <c r="U1383">
        <v>0</v>
      </c>
      <c r="V1383">
        <v>30</v>
      </c>
      <c r="W1383">
        <v>45</v>
      </c>
      <c r="X1383">
        <v>2.5</v>
      </c>
      <c r="Y1383">
        <v>1</v>
      </c>
      <c r="Z1383">
        <v>0</v>
      </c>
      <c r="AK1383">
        <v>0</v>
      </c>
      <c r="AL1383">
        <v>0</v>
      </c>
    </row>
    <row r="1384" spans="1:38" x14ac:dyDescent="0.3">
      <c r="A1384">
        <v>350438</v>
      </c>
      <c r="B1384" t="s">
        <v>50</v>
      </c>
      <c r="C1384" t="s">
        <v>709</v>
      </c>
      <c r="D1384">
        <v>2024</v>
      </c>
      <c r="E1384" t="s">
        <v>98</v>
      </c>
      <c r="F1384" t="s">
        <v>99</v>
      </c>
      <c r="S1384">
        <v>6</v>
      </c>
      <c r="T1384">
        <v>0</v>
      </c>
      <c r="U1384">
        <v>0</v>
      </c>
      <c r="V1384">
        <v>27</v>
      </c>
      <c r="W1384">
        <v>46</v>
      </c>
      <c r="X1384">
        <v>1</v>
      </c>
      <c r="Z1384">
        <v>0</v>
      </c>
      <c r="AK1384">
        <v>0</v>
      </c>
      <c r="AL1384">
        <v>0</v>
      </c>
    </row>
    <row r="1385" spans="1:38" x14ac:dyDescent="0.3">
      <c r="A1385">
        <v>350458</v>
      </c>
      <c r="B1385" t="s">
        <v>42</v>
      </c>
      <c r="C1385" t="s">
        <v>710</v>
      </c>
      <c r="D1385">
        <v>2021</v>
      </c>
      <c r="E1385" t="s">
        <v>489</v>
      </c>
      <c r="F1385" t="s">
        <v>490</v>
      </c>
      <c r="S1385">
        <v>0</v>
      </c>
      <c r="T1385">
        <v>0</v>
      </c>
      <c r="U1385">
        <v>0</v>
      </c>
      <c r="V1385">
        <v>5</v>
      </c>
      <c r="W1385">
        <v>8</v>
      </c>
      <c r="X1385">
        <v>0</v>
      </c>
      <c r="Z1385">
        <v>0</v>
      </c>
    </row>
    <row r="1386" spans="1:38" x14ac:dyDescent="0.3">
      <c r="A1386">
        <v>350458</v>
      </c>
      <c r="B1386" t="s">
        <v>42</v>
      </c>
      <c r="C1386" t="s">
        <v>710</v>
      </c>
      <c r="D1386">
        <v>2022</v>
      </c>
      <c r="E1386" t="s">
        <v>489</v>
      </c>
      <c r="F1386" t="s">
        <v>490</v>
      </c>
      <c r="S1386">
        <v>1</v>
      </c>
      <c r="T1386">
        <v>0</v>
      </c>
      <c r="U1386">
        <v>0</v>
      </c>
      <c r="V1386">
        <v>13</v>
      </c>
      <c r="W1386">
        <v>16</v>
      </c>
      <c r="X1386">
        <v>1</v>
      </c>
      <c r="Z1386">
        <v>0</v>
      </c>
      <c r="AK1386">
        <v>0</v>
      </c>
      <c r="AL1386">
        <v>0</v>
      </c>
    </row>
    <row r="1387" spans="1:38" x14ac:dyDescent="0.3">
      <c r="A1387">
        <v>350458</v>
      </c>
      <c r="B1387" t="s">
        <v>42</v>
      </c>
      <c r="C1387" t="s">
        <v>710</v>
      </c>
      <c r="D1387">
        <v>2023</v>
      </c>
      <c r="E1387" t="s">
        <v>489</v>
      </c>
      <c r="F1387" t="s">
        <v>490</v>
      </c>
      <c r="S1387">
        <v>5</v>
      </c>
      <c r="T1387">
        <v>0</v>
      </c>
      <c r="U1387">
        <v>0</v>
      </c>
      <c r="V1387">
        <v>25</v>
      </c>
      <c r="W1387">
        <v>36</v>
      </c>
      <c r="X1387">
        <v>1</v>
      </c>
      <c r="Y1387">
        <v>4</v>
      </c>
      <c r="Z1387">
        <v>1</v>
      </c>
    </row>
    <row r="1388" spans="1:38" x14ac:dyDescent="0.3">
      <c r="A1388">
        <v>350458</v>
      </c>
      <c r="B1388" t="s">
        <v>42</v>
      </c>
      <c r="C1388" t="s">
        <v>710</v>
      </c>
      <c r="D1388">
        <v>2024</v>
      </c>
      <c r="E1388" t="s">
        <v>489</v>
      </c>
      <c r="F1388" t="s">
        <v>490</v>
      </c>
      <c r="S1388">
        <v>2</v>
      </c>
      <c r="T1388">
        <v>0</v>
      </c>
      <c r="U1388">
        <v>0</v>
      </c>
      <c r="V1388">
        <v>26</v>
      </c>
      <c r="W1388">
        <v>39</v>
      </c>
      <c r="X1388">
        <v>3</v>
      </c>
      <c r="Y1388">
        <v>4</v>
      </c>
      <c r="Z1388">
        <v>0</v>
      </c>
      <c r="AK1388">
        <v>1</v>
      </c>
      <c r="AL1388">
        <v>0</v>
      </c>
    </row>
    <row r="1389" spans="1:38" x14ac:dyDescent="0.3">
      <c r="A1389">
        <v>350479</v>
      </c>
      <c r="B1389" t="s">
        <v>50</v>
      </c>
      <c r="C1389" t="s">
        <v>711</v>
      </c>
      <c r="D1389">
        <v>2020</v>
      </c>
      <c r="E1389" t="s">
        <v>489</v>
      </c>
      <c r="F1389" t="s">
        <v>490</v>
      </c>
      <c r="S1389">
        <v>8</v>
      </c>
      <c r="T1389">
        <v>0</v>
      </c>
      <c r="U1389">
        <v>0</v>
      </c>
      <c r="V1389">
        <v>18</v>
      </c>
      <c r="W1389">
        <v>20</v>
      </c>
      <c r="X1389">
        <v>0</v>
      </c>
      <c r="Z1389">
        <v>0</v>
      </c>
    </row>
    <row r="1390" spans="1:38" x14ac:dyDescent="0.3">
      <c r="A1390">
        <v>350479</v>
      </c>
      <c r="B1390" t="s">
        <v>50</v>
      </c>
      <c r="C1390" t="s">
        <v>711</v>
      </c>
      <c r="D1390">
        <v>2021</v>
      </c>
      <c r="E1390" t="s">
        <v>489</v>
      </c>
      <c r="F1390" t="s">
        <v>490</v>
      </c>
      <c r="S1390">
        <v>11</v>
      </c>
      <c r="T1390">
        <v>0</v>
      </c>
      <c r="U1390">
        <v>2</v>
      </c>
      <c r="V1390">
        <v>40</v>
      </c>
      <c r="W1390">
        <v>55</v>
      </c>
      <c r="X1390">
        <v>3</v>
      </c>
      <c r="Z1390">
        <v>1</v>
      </c>
      <c r="AF1390">
        <v>7.8</v>
      </c>
      <c r="AG1390">
        <v>92</v>
      </c>
      <c r="AH1390">
        <v>22</v>
      </c>
      <c r="AI1390">
        <v>1</v>
      </c>
      <c r="AJ1390">
        <v>172</v>
      </c>
      <c r="AK1390">
        <v>3</v>
      </c>
      <c r="AL1390">
        <v>0</v>
      </c>
    </row>
    <row r="1391" spans="1:38" x14ac:dyDescent="0.3">
      <c r="A1391">
        <v>350479</v>
      </c>
      <c r="B1391" t="s">
        <v>50</v>
      </c>
      <c r="C1391" t="s">
        <v>711</v>
      </c>
      <c r="D1391">
        <v>2022</v>
      </c>
      <c r="E1391" t="s">
        <v>489</v>
      </c>
      <c r="F1391" t="s">
        <v>490</v>
      </c>
      <c r="S1391">
        <v>1</v>
      </c>
      <c r="T1391">
        <v>0</v>
      </c>
      <c r="U1391">
        <v>0</v>
      </c>
      <c r="V1391">
        <v>35</v>
      </c>
      <c r="W1391">
        <v>45</v>
      </c>
      <c r="X1391">
        <v>4</v>
      </c>
      <c r="Y1391">
        <v>1</v>
      </c>
      <c r="Z1391">
        <v>0</v>
      </c>
      <c r="AF1391">
        <v>6.4</v>
      </c>
      <c r="AG1391">
        <v>18</v>
      </c>
      <c r="AH1391">
        <v>16</v>
      </c>
      <c r="AI1391">
        <v>0</v>
      </c>
      <c r="AJ1391">
        <v>103</v>
      </c>
      <c r="AK1391">
        <v>1</v>
      </c>
      <c r="AL1391">
        <v>0</v>
      </c>
    </row>
    <row r="1392" spans="1:38" x14ac:dyDescent="0.3">
      <c r="A1392">
        <v>350479</v>
      </c>
      <c r="B1392" t="s">
        <v>50</v>
      </c>
      <c r="C1392" t="s">
        <v>711</v>
      </c>
      <c r="D1392">
        <v>2023</v>
      </c>
      <c r="E1392" t="s">
        <v>489</v>
      </c>
      <c r="F1392" t="s">
        <v>490</v>
      </c>
      <c r="S1392">
        <v>2</v>
      </c>
      <c r="T1392">
        <v>0</v>
      </c>
      <c r="U1392">
        <v>0</v>
      </c>
      <c r="V1392">
        <v>31</v>
      </c>
      <c r="W1392">
        <v>45</v>
      </c>
      <c r="X1392">
        <v>2</v>
      </c>
      <c r="Y1392">
        <v>5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3.8</v>
      </c>
      <c r="AG1392">
        <v>10</v>
      </c>
      <c r="AH1392">
        <v>5</v>
      </c>
      <c r="AI1392">
        <v>0</v>
      </c>
      <c r="AJ1392">
        <v>19</v>
      </c>
    </row>
    <row r="1393" spans="1:38" x14ac:dyDescent="0.3">
      <c r="A1393">
        <v>350535</v>
      </c>
      <c r="B1393" t="s">
        <v>178</v>
      </c>
      <c r="C1393" t="s">
        <v>712</v>
      </c>
      <c r="D1393">
        <v>2023</v>
      </c>
      <c r="E1393" t="s">
        <v>265</v>
      </c>
      <c r="F1393" t="s">
        <v>266</v>
      </c>
      <c r="M1393">
        <v>0</v>
      </c>
      <c r="N1393">
        <v>-2</v>
      </c>
      <c r="O1393">
        <v>0</v>
      </c>
    </row>
    <row r="1394" spans="1:38" x14ac:dyDescent="0.3">
      <c r="A1394">
        <v>350552</v>
      </c>
      <c r="B1394" t="s">
        <v>46</v>
      </c>
      <c r="C1394" t="s">
        <v>713</v>
      </c>
      <c r="D1394">
        <v>2020</v>
      </c>
      <c r="E1394" t="s">
        <v>125</v>
      </c>
      <c r="F1394" t="s">
        <v>126</v>
      </c>
      <c r="P1394">
        <v>10</v>
      </c>
      <c r="Q1394">
        <v>1</v>
      </c>
      <c r="R1394">
        <v>223</v>
      </c>
    </row>
    <row r="1395" spans="1:38" x14ac:dyDescent="0.3">
      <c r="A1395">
        <v>350552</v>
      </c>
      <c r="B1395" t="s">
        <v>46</v>
      </c>
      <c r="C1395" t="s">
        <v>713</v>
      </c>
      <c r="D1395">
        <v>2022</v>
      </c>
      <c r="E1395" t="s">
        <v>414</v>
      </c>
      <c r="F1395" t="s">
        <v>415</v>
      </c>
      <c r="M1395">
        <v>1</v>
      </c>
      <c r="N1395">
        <v>3</v>
      </c>
      <c r="O1395">
        <v>0</v>
      </c>
      <c r="P1395">
        <v>51</v>
      </c>
      <c r="Q1395">
        <v>4</v>
      </c>
      <c r="R1395">
        <v>619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0</v>
      </c>
      <c r="Z1395">
        <v>0</v>
      </c>
      <c r="AK1395">
        <v>2</v>
      </c>
      <c r="AL1395">
        <v>2</v>
      </c>
    </row>
    <row r="1396" spans="1:38" x14ac:dyDescent="0.3">
      <c r="A1396">
        <v>350552</v>
      </c>
      <c r="B1396" t="s">
        <v>46</v>
      </c>
      <c r="C1396" t="s">
        <v>713</v>
      </c>
      <c r="D1396">
        <v>2023</v>
      </c>
      <c r="E1396" t="s">
        <v>414</v>
      </c>
      <c r="F1396" t="s">
        <v>415</v>
      </c>
      <c r="M1396">
        <v>1</v>
      </c>
      <c r="N1396">
        <v>1</v>
      </c>
      <c r="O1396">
        <v>0</v>
      </c>
      <c r="P1396">
        <v>88</v>
      </c>
      <c r="Q1396">
        <v>8</v>
      </c>
      <c r="R1396">
        <v>1483</v>
      </c>
      <c r="S1396">
        <v>0</v>
      </c>
      <c r="T1396">
        <v>0</v>
      </c>
      <c r="U1396">
        <v>0</v>
      </c>
      <c r="V1396">
        <v>1</v>
      </c>
      <c r="W1396">
        <v>1</v>
      </c>
      <c r="X1396">
        <v>0</v>
      </c>
      <c r="Z1396">
        <v>0</v>
      </c>
    </row>
    <row r="1397" spans="1:38" x14ac:dyDescent="0.3">
      <c r="A1397">
        <v>350552</v>
      </c>
      <c r="B1397" t="s">
        <v>46</v>
      </c>
      <c r="C1397" t="s">
        <v>713</v>
      </c>
      <c r="D1397">
        <v>2024</v>
      </c>
      <c r="E1397" t="s">
        <v>414</v>
      </c>
      <c r="F1397" t="s">
        <v>415</v>
      </c>
      <c r="M1397">
        <v>1</v>
      </c>
      <c r="N1397">
        <v>1</v>
      </c>
      <c r="O1397">
        <v>0</v>
      </c>
      <c r="P1397">
        <v>79</v>
      </c>
      <c r="Q1397">
        <v>11</v>
      </c>
      <c r="R1397">
        <v>1041</v>
      </c>
      <c r="S1397">
        <v>0</v>
      </c>
      <c r="T1397">
        <v>0</v>
      </c>
      <c r="U1397">
        <v>0</v>
      </c>
      <c r="V1397">
        <v>2</v>
      </c>
      <c r="W1397">
        <v>2</v>
      </c>
      <c r="X1397">
        <v>0</v>
      </c>
      <c r="Z1397">
        <v>1</v>
      </c>
      <c r="AF1397">
        <v>34.5</v>
      </c>
      <c r="AG1397">
        <v>51</v>
      </c>
      <c r="AH1397">
        <v>2</v>
      </c>
      <c r="AI1397">
        <v>1</v>
      </c>
      <c r="AJ1397">
        <v>69</v>
      </c>
      <c r="AK1397">
        <v>1</v>
      </c>
      <c r="AL1397">
        <v>0</v>
      </c>
    </row>
    <row r="1398" spans="1:38" x14ac:dyDescent="0.3">
      <c r="A1398">
        <v>350636</v>
      </c>
      <c r="B1398" t="s">
        <v>142</v>
      </c>
      <c r="C1398" t="s">
        <v>714</v>
      </c>
      <c r="D1398">
        <v>2020</v>
      </c>
      <c r="E1398" t="s">
        <v>152</v>
      </c>
      <c r="F1398" t="s">
        <v>153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Z1398">
        <v>0</v>
      </c>
    </row>
    <row r="1399" spans="1:38" x14ac:dyDescent="0.3">
      <c r="A1399">
        <v>350636</v>
      </c>
      <c r="B1399" t="s">
        <v>142</v>
      </c>
      <c r="C1399" t="s">
        <v>714</v>
      </c>
      <c r="D1399">
        <v>2021</v>
      </c>
      <c r="E1399" t="s">
        <v>152</v>
      </c>
      <c r="F1399" t="s">
        <v>153</v>
      </c>
      <c r="P1399">
        <v>3</v>
      </c>
      <c r="Q1399">
        <v>1</v>
      </c>
      <c r="R1399">
        <v>43</v>
      </c>
    </row>
    <row r="1400" spans="1:38" x14ac:dyDescent="0.3">
      <c r="A1400">
        <v>350636</v>
      </c>
      <c r="B1400" t="s">
        <v>142</v>
      </c>
      <c r="C1400" t="s">
        <v>714</v>
      </c>
      <c r="D1400">
        <v>2022</v>
      </c>
      <c r="E1400" t="s">
        <v>152</v>
      </c>
      <c r="F1400" t="s">
        <v>153</v>
      </c>
      <c r="P1400">
        <v>19</v>
      </c>
      <c r="Q1400">
        <v>1</v>
      </c>
      <c r="R1400">
        <v>173</v>
      </c>
      <c r="AA1400">
        <v>3</v>
      </c>
      <c r="AB1400">
        <v>3</v>
      </c>
      <c r="AC1400">
        <v>1</v>
      </c>
      <c r="AD1400">
        <v>0</v>
      </c>
      <c r="AE1400">
        <v>3</v>
      </c>
    </row>
    <row r="1401" spans="1:38" x14ac:dyDescent="0.3">
      <c r="A1401">
        <v>350636</v>
      </c>
      <c r="B1401" t="s">
        <v>142</v>
      </c>
      <c r="C1401" t="s">
        <v>714</v>
      </c>
      <c r="D1401">
        <v>2023</v>
      </c>
      <c r="E1401" t="s">
        <v>152</v>
      </c>
      <c r="F1401" t="s">
        <v>153</v>
      </c>
      <c r="P1401">
        <v>19</v>
      </c>
      <c r="Q1401">
        <v>3</v>
      </c>
      <c r="R1401">
        <v>203</v>
      </c>
      <c r="AA1401">
        <v>7</v>
      </c>
      <c r="AB1401">
        <v>14</v>
      </c>
      <c r="AC1401">
        <v>2</v>
      </c>
      <c r="AD1401">
        <v>0</v>
      </c>
      <c r="AE1401">
        <v>14</v>
      </c>
    </row>
    <row r="1402" spans="1:38" x14ac:dyDescent="0.3">
      <c r="A1402">
        <v>350669</v>
      </c>
      <c r="B1402" t="s">
        <v>50</v>
      </c>
      <c r="C1402" t="s">
        <v>715</v>
      </c>
      <c r="D1402">
        <v>2020</v>
      </c>
      <c r="E1402" t="s">
        <v>716</v>
      </c>
      <c r="F1402" t="s">
        <v>717</v>
      </c>
      <c r="S1402">
        <v>0</v>
      </c>
      <c r="T1402">
        <v>0</v>
      </c>
      <c r="U1402">
        <v>1</v>
      </c>
      <c r="V1402">
        <v>6</v>
      </c>
      <c r="W1402">
        <v>8</v>
      </c>
      <c r="X1402">
        <v>1</v>
      </c>
      <c r="Z1402">
        <v>0</v>
      </c>
    </row>
    <row r="1403" spans="1:38" x14ac:dyDescent="0.3">
      <c r="A1403">
        <v>350669</v>
      </c>
      <c r="B1403" t="s">
        <v>50</v>
      </c>
      <c r="C1403" t="s">
        <v>715</v>
      </c>
      <c r="D1403">
        <v>2021</v>
      </c>
      <c r="E1403" t="s">
        <v>44</v>
      </c>
      <c r="F1403" t="s">
        <v>45</v>
      </c>
      <c r="S1403">
        <v>4</v>
      </c>
      <c r="T1403">
        <v>0</v>
      </c>
      <c r="U1403">
        <v>0</v>
      </c>
      <c r="V1403">
        <v>23</v>
      </c>
      <c r="W1403">
        <v>28</v>
      </c>
      <c r="X1403">
        <v>0</v>
      </c>
      <c r="Y1403">
        <v>3</v>
      </c>
      <c r="Z1403">
        <v>0</v>
      </c>
    </row>
    <row r="1404" spans="1:38" x14ac:dyDescent="0.3">
      <c r="A1404">
        <v>350669</v>
      </c>
      <c r="B1404" t="s">
        <v>50</v>
      </c>
      <c r="C1404" t="s">
        <v>715</v>
      </c>
      <c r="D1404">
        <v>2022</v>
      </c>
      <c r="E1404" t="s">
        <v>44</v>
      </c>
      <c r="F1404" t="s">
        <v>45</v>
      </c>
      <c r="S1404">
        <v>5</v>
      </c>
      <c r="T1404">
        <v>0</v>
      </c>
      <c r="U1404">
        <v>0</v>
      </c>
      <c r="V1404">
        <v>30</v>
      </c>
      <c r="W1404">
        <v>42</v>
      </c>
      <c r="X1404">
        <v>1.5</v>
      </c>
      <c r="Y1404">
        <v>1</v>
      </c>
      <c r="Z1404">
        <v>0</v>
      </c>
    </row>
    <row r="1405" spans="1:38" x14ac:dyDescent="0.3">
      <c r="A1405">
        <v>350669</v>
      </c>
      <c r="B1405" t="s">
        <v>50</v>
      </c>
      <c r="C1405" t="s">
        <v>715</v>
      </c>
      <c r="D1405">
        <v>2023</v>
      </c>
      <c r="E1405" t="s">
        <v>44</v>
      </c>
      <c r="F1405" t="s">
        <v>45</v>
      </c>
      <c r="S1405">
        <v>7</v>
      </c>
      <c r="T1405">
        <v>0</v>
      </c>
      <c r="U1405">
        <v>0</v>
      </c>
      <c r="V1405">
        <v>39</v>
      </c>
      <c r="W1405">
        <v>59</v>
      </c>
      <c r="X1405">
        <v>1</v>
      </c>
      <c r="Y1405">
        <v>4</v>
      </c>
      <c r="Z1405">
        <v>1</v>
      </c>
    </row>
    <row r="1406" spans="1:38" x14ac:dyDescent="0.3">
      <c r="A1406">
        <v>350669</v>
      </c>
      <c r="B1406" t="s">
        <v>50</v>
      </c>
      <c r="C1406" t="s">
        <v>715</v>
      </c>
      <c r="D1406">
        <v>2024</v>
      </c>
      <c r="E1406" t="s">
        <v>44</v>
      </c>
      <c r="F1406" t="s">
        <v>45</v>
      </c>
      <c r="S1406">
        <v>5</v>
      </c>
      <c r="T1406">
        <v>2</v>
      </c>
      <c r="U1406">
        <v>0</v>
      </c>
      <c r="V1406">
        <v>28</v>
      </c>
      <c r="W1406">
        <v>43</v>
      </c>
      <c r="X1406">
        <v>5</v>
      </c>
      <c r="Y1406">
        <v>3</v>
      </c>
      <c r="Z1406">
        <v>0</v>
      </c>
      <c r="AK1406">
        <v>0</v>
      </c>
      <c r="AL1406">
        <v>0</v>
      </c>
    </row>
    <row r="1407" spans="1:38" x14ac:dyDescent="0.3">
      <c r="A1407">
        <v>350674</v>
      </c>
      <c r="B1407" t="s">
        <v>69</v>
      </c>
      <c r="C1407" t="s">
        <v>718</v>
      </c>
      <c r="D1407">
        <v>2021</v>
      </c>
      <c r="E1407" t="s">
        <v>148</v>
      </c>
      <c r="F1407" t="s">
        <v>149</v>
      </c>
      <c r="S1407">
        <v>0</v>
      </c>
      <c r="T1407">
        <v>0</v>
      </c>
      <c r="U1407">
        <v>1.5</v>
      </c>
      <c r="V1407">
        <v>3</v>
      </c>
      <c r="W1407">
        <v>5</v>
      </c>
      <c r="X1407">
        <v>1.5</v>
      </c>
      <c r="Z1407">
        <v>0</v>
      </c>
    </row>
    <row r="1408" spans="1:38" x14ac:dyDescent="0.3">
      <c r="A1408">
        <v>350674</v>
      </c>
      <c r="B1408" t="s">
        <v>69</v>
      </c>
      <c r="C1408" t="s">
        <v>718</v>
      </c>
      <c r="D1408">
        <v>2022</v>
      </c>
      <c r="E1408" t="s">
        <v>148</v>
      </c>
      <c r="F1408" t="s">
        <v>149</v>
      </c>
      <c r="S1408">
        <v>1</v>
      </c>
      <c r="T1408">
        <v>3</v>
      </c>
      <c r="U1408">
        <v>3</v>
      </c>
      <c r="V1408">
        <v>11</v>
      </c>
      <c r="W1408">
        <v>27</v>
      </c>
      <c r="X1408">
        <v>6</v>
      </c>
      <c r="Z1408">
        <v>0</v>
      </c>
    </row>
    <row r="1409" spans="1:38" x14ac:dyDescent="0.3">
      <c r="A1409">
        <v>350674</v>
      </c>
      <c r="B1409" t="s">
        <v>69</v>
      </c>
      <c r="C1409" t="s">
        <v>718</v>
      </c>
      <c r="D1409">
        <v>2023</v>
      </c>
      <c r="E1409" t="s">
        <v>719</v>
      </c>
      <c r="F1409" t="s">
        <v>720</v>
      </c>
      <c r="S1409">
        <v>0</v>
      </c>
      <c r="T1409">
        <v>6</v>
      </c>
      <c r="U1409">
        <v>9.5</v>
      </c>
      <c r="V1409">
        <v>22</v>
      </c>
      <c r="W1409">
        <v>38</v>
      </c>
      <c r="X1409">
        <v>13.5</v>
      </c>
      <c r="Z1409">
        <v>0</v>
      </c>
      <c r="AK1409">
        <v>0</v>
      </c>
      <c r="AL1409">
        <v>0</v>
      </c>
    </row>
    <row r="1410" spans="1:38" x14ac:dyDescent="0.3">
      <c r="A1410">
        <v>350674</v>
      </c>
      <c r="B1410" t="s">
        <v>69</v>
      </c>
      <c r="C1410" t="s">
        <v>718</v>
      </c>
      <c r="D1410">
        <v>2024</v>
      </c>
      <c r="E1410" t="s">
        <v>719</v>
      </c>
      <c r="F1410" t="s">
        <v>720</v>
      </c>
      <c r="S1410">
        <v>0</v>
      </c>
      <c r="T1410">
        <v>8</v>
      </c>
      <c r="U1410">
        <v>15.5</v>
      </c>
      <c r="V1410">
        <v>29</v>
      </c>
      <c r="W1410">
        <v>42</v>
      </c>
      <c r="X1410">
        <v>18.5</v>
      </c>
      <c r="Z1410">
        <v>0</v>
      </c>
      <c r="AK1410">
        <v>0</v>
      </c>
      <c r="AL1410">
        <v>0</v>
      </c>
    </row>
    <row r="1411" spans="1:38" x14ac:dyDescent="0.3">
      <c r="A1411">
        <v>350683</v>
      </c>
      <c r="B1411" t="s">
        <v>178</v>
      </c>
      <c r="C1411" t="s">
        <v>721</v>
      </c>
      <c r="D1411">
        <v>2021</v>
      </c>
      <c r="E1411" t="s">
        <v>223</v>
      </c>
      <c r="F1411" t="s">
        <v>224</v>
      </c>
      <c r="S1411">
        <v>0</v>
      </c>
      <c r="T1411">
        <v>0</v>
      </c>
      <c r="U1411">
        <v>0</v>
      </c>
      <c r="V1411">
        <v>1</v>
      </c>
      <c r="W1411">
        <v>1</v>
      </c>
      <c r="X1411">
        <v>0</v>
      </c>
      <c r="Z1411">
        <v>0</v>
      </c>
    </row>
    <row r="1412" spans="1:38" x14ac:dyDescent="0.3">
      <c r="A1412">
        <v>350683</v>
      </c>
      <c r="B1412" t="s">
        <v>178</v>
      </c>
      <c r="C1412" t="s">
        <v>721</v>
      </c>
      <c r="D1412">
        <v>2024</v>
      </c>
      <c r="E1412" t="s">
        <v>148</v>
      </c>
      <c r="F1412" t="s">
        <v>149</v>
      </c>
      <c r="S1412">
        <v>0</v>
      </c>
      <c r="T1412">
        <v>0</v>
      </c>
      <c r="U1412">
        <v>0</v>
      </c>
      <c r="V1412">
        <v>1</v>
      </c>
      <c r="W1412">
        <v>1</v>
      </c>
      <c r="X1412">
        <v>0</v>
      </c>
      <c r="Z1412">
        <v>0</v>
      </c>
    </row>
    <row r="1413" spans="1:38" x14ac:dyDescent="0.3">
      <c r="A1413">
        <v>350698</v>
      </c>
      <c r="B1413" t="s">
        <v>50</v>
      </c>
      <c r="C1413" t="s">
        <v>722</v>
      </c>
      <c r="D1413">
        <v>2020</v>
      </c>
      <c r="E1413" t="s">
        <v>105</v>
      </c>
      <c r="F1413" t="s">
        <v>106</v>
      </c>
      <c r="S1413">
        <v>2</v>
      </c>
      <c r="T1413">
        <v>0</v>
      </c>
      <c r="U1413">
        <v>0</v>
      </c>
      <c r="V1413">
        <v>8</v>
      </c>
      <c r="W1413">
        <v>9</v>
      </c>
      <c r="X1413">
        <v>0</v>
      </c>
      <c r="Z1413">
        <v>0</v>
      </c>
    </row>
    <row r="1414" spans="1:38" x14ac:dyDescent="0.3">
      <c r="A1414">
        <v>350698</v>
      </c>
      <c r="B1414" t="s">
        <v>50</v>
      </c>
      <c r="C1414" t="s">
        <v>722</v>
      </c>
      <c r="D1414">
        <v>2021</v>
      </c>
      <c r="E1414" t="s">
        <v>105</v>
      </c>
      <c r="F1414" t="s">
        <v>106</v>
      </c>
      <c r="S1414">
        <v>5</v>
      </c>
      <c r="T1414">
        <v>1</v>
      </c>
      <c r="U1414">
        <v>0</v>
      </c>
      <c r="V1414">
        <v>25</v>
      </c>
      <c r="W1414">
        <v>31</v>
      </c>
      <c r="X1414">
        <v>2</v>
      </c>
      <c r="Y1414">
        <v>1</v>
      </c>
      <c r="Z1414">
        <v>1</v>
      </c>
    </row>
    <row r="1415" spans="1:38" x14ac:dyDescent="0.3">
      <c r="A1415">
        <v>350698</v>
      </c>
      <c r="B1415" t="s">
        <v>50</v>
      </c>
      <c r="C1415" t="s">
        <v>722</v>
      </c>
      <c r="D1415">
        <v>2022</v>
      </c>
      <c r="E1415" t="s">
        <v>145</v>
      </c>
      <c r="F1415" t="s">
        <v>146</v>
      </c>
      <c r="S1415">
        <v>9</v>
      </c>
      <c r="T1415">
        <v>0</v>
      </c>
      <c r="U1415">
        <v>0</v>
      </c>
      <c r="V1415">
        <v>37</v>
      </c>
      <c r="W1415">
        <v>42</v>
      </c>
      <c r="X1415">
        <v>0</v>
      </c>
      <c r="Y1415">
        <v>4</v>
      </c>
      <c r="Z1415">
        <v>0</v>
      </c>
      <c r="AK1415">
        <v>0</v>
      </c>
      <c r="AL1415">
        <v>0</v>
      </c>
    </row>
    <row r="1416" spans="1:38" x14ac:dyDescent="0.3">
      <c r="A1416">
        <v>350698</v>
      </c>
      <c r="B1416" t="s">
        <v>50</v>
      </c>
      <c r="C1416" t="s">
        <v>722</v>
      </c>
      <c r="D1416">
        <v>2023</v>
      </c>
      <c r="E1416" t="s">
        <v>145</v>
      </c>
      <c r="F1416" t="s">
        <v>146</v>
      </c>
      <c r="S1416">
        <v>6</v>
      </c>
      <c r="T1416">
        <v>0</v>
      </c>
      <c r="U1416">
        <v>0</v>
      </c>
      <c r="V1416">
        <v>19</v>
      </c>
      <c r="W1416">
        <v>20</v>
      </c>
      <c r="X1416">
        <v>3</v>
      </c>
      <c r="Y1416">
        <v>3</v>
      </c>
      <c r="Z1416">
        <v>0</v>
      </c>
    </row>
    <row r="1417" spans="1:38" x14ac:dyDescent="0.3">
      <c r="A1417">
        <v>350805</v>
      </c>
      <c r="B1417" t="s">
        <v>50</v>
      </c>
      <c r="C1417" t="s">
        <v>723</v>
      </c>
      <c r="D1417">
        <v>2020</v>
      </c>
      <c r="E1417" t="s">
        <v>414</v>
      </c>
      <c r="F1417" t="s">
        <v>415</v>
      </c>
      <c r="S1417">
        <v>1</v>
      </c>
      <c r="T1417">
        <v>0</v>
      </c>
      <c r="U1417">
        <v>0</v>
      </c>
      <c r="V1417">
        <v>14</v>
      </c>
      <c r="W1417">
        <v>25</v>
      </c>
      <c r="X1417">
        <v>0</v>
      </c>
      <c r="Y1417">
        <v>1</v>
      </c>
      <c r="Z1417">
        <v>0</v>
      </c>
      <c r="AK1417">
        <v>0</v>
      </c>
      <c r="AL1417">
        <v>0</v>
      </c>
    </row>
    <row r="1418" spans="1:38" x14ac:dyDescent="0.3">
      <c r="A1418">
        <v>350805</v>
      </c>
      <c r="B1418" t="s">
        <v>50</v>
      </c>
      <c r="C1418" t="s">
        <v>723</v>
      </c>
      <c r="D1418">
        <v>2021</v>
      </c>
      <c r="E1418" t="s">
        <v>414</v>
      </c>
      <c r="F1418" t="s">
        <v>415</v>
      </c>
      <c r="S1418">
        <v>3</v>
      </c>
      <c r="T1418">
        <v>0</v>
      </c>
      <c r="U1418">
        <v>0</v>
      </c>
      <c r="V1418">
        <v>27</v>
      </c>
      <c r="W1418">
        <v>33</v>
      </c>
      <c r="X1418">
        <v>0</v>
      </c>
      <c r="Y1418">
        <v>1</v>
      </c>
      <c r="Z1418">
        <v>0</v>
      </c>
      <c r="AA1418">
        <v>15.3</v>
      </c>
      <c r="AB1418">
        <v>22</v>
      </c>
      <c r="AC1418">
        <v>8</v>
      </c>
      <c r="AD1418">
        <v>0</v>
      </c>
      <c r="AE1418">
        <v>122</v>
      </c>
      <c r="AF1418">
        <v>7</v>
      </c>
      <c r="AG1418">
        <v>22</v>
      </c>
      <c r="AH1418">
        <v>4</v>
      </c>
      <c r="AI1418">
        <v>0</v>
      </c>
      <c r="AJ1418">
        <v>28</v>
      </c>
      <c r="AK1418">
        <v>1</v>
      </c>
      <c r="AL1418">
        <v>1</v>
      </c>
    </row>
    <row r="1419" spans="1:38" x14ac:dyDescent="0.3">
      <c r="A1419">
        <v>350805</v>
      </c>
      <c r="B1419" t="s">
        <v>50</v>
      </c>
      <c r="C1419" t="s">
        <v>723</v>
      </c>
      <c r="D1419">
        <v>2022</v>
      </c>
      <c r="E1419" t="s">
        <v>414</v>
      </c>
      <c r="F1419" t="s">
        <v>415</v>
      </c>
      <c r="S1419">
        <v>5</v>
      </c>
      <c r="T1419">
        <v>0</v>
      </c>
      <c r="U1419">
        <v>0</v>
      </c>
      <c r="V1419">
        <v>23</v>
      </c>
      <c r="W1419">
        <v>39</v>
      </c>
      <c r="X1419">
        <v>1</v>
      </c>
      <c r="Y1419">
        <v>3</v>
      </c>
      <c r="Z1419">
        <v>0</v>
      </c>
      <c r="AA1419">
        <v>23</v>
      </c>
      <c r="AB1419">
        <v>36</v>
      </c>
      <c r="AC1419">
        <v>6</v>
      </c>
      <c r="AD1419">
        <v>0</v>
      </c>
      <c r="AE1419">
        <v>138</v>
      </c>
      <c r="AF1419">
        <v>6.6</v>
      </c>
      <c r="AG1419">
        <v>14</v>
      </c>
      <c r="AH1419">
        <v>7</v>
      </c>
      <c r="AI1419">
        <v>0</v>
      </c>
      <c r="AJ1419">
        <v>46</v>
      </c>
      <c r="AK1419">
        <v>0</v>
      </c>
      <c r="AL1419">
        <v>0</v>
      </c>
    </row>
    <row r="1420" spans="1:38" x14ac:dyDescent="0.3">
      <c r="A1420">
        <v>350805</v>
      </c>
      <c r="B1420" t="s">
        <v>50</v>
      </c>
      <c r="C1420" t="s">
        <v>723</v>
      </c>
      <c r="D1420">
        <v>2023</v>
      </c>
      <c r="E1420" t="s">
        <v>331</v>
      </c>
      <c r="F1420" t="s">
        <v>332</v>
      </c>
      <c r="S1420">
        <v>3</v>
      </c>
      <c r="T1420">
        <v>0</v>
      </c>
      <c r="U1420">
        <v>0</v>
      </c>
      <c r="V1420">
        <v>37</v>
      </c>
      <c r="W1420">
        <v>52</v>
      </c>
      <c r="X1420">
        <v>3</v>
      </c>
      <c r="Y1420">
        <v>2</v>
      </c>
      <c r="Z1420">
        <v>0</v>
      </c>
      <c r="AF1420">
        <v>-1</v>
      </c>
      <c r="AG1420">
        <v>2</v>
      </c>
      <c r="AH1420">
        <v>2</v>
      </c>
      <c r="AI1420">
        <v>0</v>
      </c>
      <c r="AJ1420">
        <v>-2</v>
      </c>
      <c r="AK1420">
        <v>1</v>
      </c>
      <c r="AL1420">
        <v>1</v>
      </c>
    </row>
    <row r="1421" spans="1:38" x14ac:dyDescent="0.3">
      <c r="A1421">
        <v>350805</v>
      </c>
      <c r="B1421" t="s">
        <v>50</v>
      </c>
      <c r="C1421" t="s">
        <v>723</v>
      </c>
      <c r="D1421">
        <v>2024</v>
      </c>
      <c r="E1421" t="s">
        <v>331</v>
      </c>
      <c r="F1421" t="s">
        <v>332</v>
      </c>
      <c r="S1421">
        <v>8</v>
      </c>
      <c r="T1421">
        <v>1</v>
      </c>
      <c r="U1421">
        <v>0</v>
      </c>
      <c r="V1421">
        <v>32</v>
      </c>
      <c r="W1421">
        <v>51</v>
      </c>
      <c r="X1421">
        <v>1</v>
      </c>
      <c r="Y1421">
        <v>7</v>
      </c>
      <c r="Z1421">
        <v>2</v>
      </c>
      <c r="AA1421">
        <v>27.6</v>
      </c>
      <c r="AB1421">
        <v>80</v>
      </c>
      <c r="AC1421">
        <v>12</v>
      </c>
      <c r="AD1421">
        <v>1</v>
      </c>
      <c r="AE1421">
        <v>331</v>
      </c>
      <c r="AK1421">
        <v>1</v>
      </c>
      <c r="AL1421">
        <v>1</v>
      </c>
    </row>
    <row r="1422" spans="1:38" x14ac:dyDescent="0.3">
      <c r="A1422">
        <v>351068</v>
      </c>
      <c r="B1422" t="s">
        <v>142</v>
      </c>
      <c r="C1422" t="s">
        <v>724</v>
      </c>
      <c r="D1422">
        <v>2021</v>
      </c>
      <c r="E1422" t="s">
        <v>418</v>
      </c>
      <c r="F1422" t="s">
        <v>419</v>
      </c>
      <c r="P1422">
        <v>8</v>
      </c>
      <c r="Q1422">
        <v>0</v>
      </c>
      <c r="R1422">
        <v>133</v>
      </c>
      <c r="AK1422">
        <v>1</v>
      </c>
      <c r="AL1422">
        <v>0</v>
      </c>
    </row>
    <row r="1423" spans="1:38" x14ac:dyDescent="0.3">
      <c r="A1423">
        <v>351068</v>
      </c>
      <c r="B1423" t="s">
        <v>142</v>
      </c>
      <c r="C1423" t="s">
        <v>724</v>
      </c>
      <c r="D1423">
        <v>2022</v>
      </c>
      <c r="E1423" t="s">
        <v>418</v>
      </c>
      <c r="F1423" t="s">
        <v>419</v>
      </c>
      <c r="P1423">
        <v>28</v>
      </c>
      <c r="Q1423">
        <v>4</v>
      </c>
      <c r="R1423">
        <v>398</v>
      </c>
      <c r="S1423">
        <v>0</v>
      </c>
      <c r="T1423">
        <v>0</v>
      </c>
      <c r="U1423">
        <v>0</v>
      </c>
      <c r="V1423">
        <v>2</v>
      </c>
      <c r="W1423">
        <v>2</v>
      </c>
      <c r="X1423">
        <v>0</v>
      </c>
      <c r="Z1423">
        <v>0</v>
      </c>
    </row>
    <row r="1424" spans="1:38" x14ac:dyDescent="0.3">
      <c r="A1424">
        <v>351068</v>
      </c>
      <c r="B1424" t="s">
        <v>142</v>
      </c>
      <c r="C1424" t="s">
        <v>724</v>
      </c>
      <c r="D1424">
        <v>2023</v>
      </c>
      <c r="E1424" t="s">
        <v>418</v>
      </c>
      <c r="F1424" t="s">
        <v>419</v>
      </c>
      <c r="P1424">
        <v>10</v>
      </c>
      <c r="Q1424">
        <v>0</v>
      </c>
      <c r="R1424">
        <v>131</v>
      </c>
    </row>
    <row r="1425" spans="1:38" x14ac:dyDescent="0.3">
      <c r="A1425">
        <v>351068</v>
      </c>
      <c r="B1425" t="s">
        <v>142</v>
      </c>
      <c r="C1425" t="s">
        <v>724</v>
      </c>
      <c r="D1425">
        <v>2024</v>
      </c>
      <c r="E1425" t="s">
        <v>418</v>
      </c>
      <c r="F1425" t="s">
        <v>419</v>
      </c>
      <c r="P1425">
        <v>28</v>
      </c>
      <c r="Q1425">
        <v>0</v>
      </c>
      <c r="R1425">
        <v>231</v>
      </c>
    </row>
    <row r="1426" spans="1:38" x14ac:dyDescent="0.3">
      <c r="A1426">
        <v>351069</v>
      </c>
      <c r="B1426" t="s">
        <v>38</v>
      </c>
      <c r="C1426" t="s">
        <v>725</v>
      </c>
      <c r="D1426">
        <v>2020</v>
      </c>
      <c r="E1426" t="s">
        <v>418</v>
      </c>
      <c r="F1426" t="s">
        <v>419</v>
      </c>
      <c r="S1426">
        <v>0</v>
      </c>
      <c r="T1426">
        <v>0</v>
      </c>
      <c r="U1426">
        <v>0</v>
      </c>
      <c r="V1426">
        <v>1</v>
      </c>
      <c r="W1426">
        <v>1</v>
      </c>
      <c r="X1426">
        <v>0</v>
      </c>
      <c r="Z1426">
        <v>0</v>
      </c>
    </row>
    <row r="1427" spans="1:38" x14ac:dyDescent="0.3">
      <c r="A1427">
        <v>351069</v>
      </c>
      <c r="B1427" t="s">
        <v>38</v>
      </c>
      <c r="C1427" t="s">
        <v>725</v>
      </c>
      <c r="D1427">
        <v>2021</v>
      </c>
      <c r="E1427" t="s">
        <v>418</v>
      </c>
      <c r="F1427" t="s">
        <v>419</v>
      </c>
      <c r="S1427">
        <v>1</v>
      </c>
      <c r="T1427">
        <v>1</v>
      </c>
      <c r="U1427">
        <v>3</v>
      </c>
      <c r="V1427">
        <v>17</v>
      </c>
      <c r="W1427">
        <v>48</v>
      </c>
      <c r="X1427">
        <v>5</v>
      </c>
      <c r="Z1427">
        <v>0</v>
      </c>
      <c r="AK1427">
        <v>0</v>
      </c>
      <c r="AL1427">
        <v>0</v>
      </c>
    </row>
    <row r="1428" spans="1:38" x14ac:dyDescent="0.3">
      <c r="A1428">
        <v>351069</v>
      </c>
      <c r="B1428" t="s">
        <v>38</v>
      </c>
      <c r="C1428" t="s">
        <v>725</v>
      </c>
      <c r="D1428">
        <v>2022</v>
      </c>
      <c r="E1428" t="s">
        <v>418</v>
      </c>
      <c r="F1428" t="s">
        <v>419</v>
      </c>
      <c r="S1428">
        <v>3</v>
      </c>
      <c r="T1428">
        <v>1</v>
      </c>
      <c r="U1428">
        <v>3</v>
      </c>
      <c r="V1428">
        <v>17</v>
      </c>
      <c r="W1428">
        <v>47</v>
      </c>
      <c r="X1428">
        <v>7.5</v>
      </c>
      <c r="Z1428">
        <v>0</v>
      </c>
      <c r="AK1428">
        <v>0</v>
      </c>
      <c r="AL1428">
        <v>0</v>
      </c>
    </row>
    <row r="1429" spans="1:38" x14ac:dyDescent="0.3">
      <c r="A1429">
        <v>351069</v>
      </c>
      <c r="B1429" t="s">
        <v>38</v>
      </c>
      <c r="C1429" t="s">
        <v>725</v>
      </c>
      <c r="D1429">
        <v>2023</v>
      </c>
      <c r="E1429" t="s">
        <v>418</v>
      </c>
      <c r="F1429" t="s">
        <v>419</v>
      </c>
      <c r="S1429">
        <v>3</v>
      </c>
      <c r="T1429">
        <v>1</v>
      </c>
      <c r="U1429">
        <v>3</v>
      </c>
      <c r="V1429">
        <v>19</v>
      </c>
      <c r="W1429">
        <v>55</v>
      </c>
      <c r="X1429">
        <v>5.5</v>
      </c>
      <c r="Z1429">
        <v>0</v>
      </c>
    </row>
    <row r="1430" spans="1:38" x14ac:dyDescent="0.3">
      <c r="A1430">
        <v>351079</v>
      </c>
      <c r="B1430" t="s">
        <v>54</v>
      </c>
      <c r="C1430" t="s">
        <v>726</v>
      </c>
      <c r="D1430">
        <v>2020</v>
      </c>
      <c r="E1430" t="s">
        <v>125</v>
      </c>
      <c r="F1430" t="s">
        <v>126</v>
      </c>
      <c r="G1430">
        <v>85</v>
      </c>
      <c r="H1430">
        <v>48</v>
      </c>
      <c r="I1430">
        <v>582</v>
      </c>
      <c r="J1430">
        <v>0.56499999999999995</v>
      </c>
      <c r="K1430">
        <v>3</v>
      </c>
      <c r="L1430">
        <v>3</v>
      </c>
      <c r="M1430">
        <v>25</v>
      </c>
      <c r="N1430">
        <v>47</v>
      </c>
      <c r="O1430">
        <v>1</v>
      </c>
      <c r="S1430">
        <v>0</v>
      </c>
      <c r="T1430">
        <v>0</v>
      </c>
      <c r="U1430">
        <v>0</v>
      </c>
      <c r="V1430">
        <v>1</v>
      </c>
      <c r="W1430">
        <v>1</v>
      </c>
      <c r="X1430">
        <v>0</v>
      </c>
      <c r="Z1430">
        <v>0</v>
      </c>
      <c r="AK1430">
        <v>2</v>
      </c>
      <c r="AL1430">
        <v>1</v>
      </c>
    </row>
    <row r="1431" spans="1:38" x14ac:dyDescent="0.3">
      <c r="A1431">
        <v>351079</v>
      </c>
      <c r="B1431" t="s">
        <v>54</v>
      </c>
      <c r="C1431" t="s">
        <v>726</v>
      </c>
      <c r="D1431">
        <v>2021</v>
      </c>
      <c r="E1431" t="s">
        <v>125</v>
      </c>
      <c r="F1431" t="s">
        <v>126</v>
      </c>
      <c r="G1431">
        <v>389</v>
      </c>
      <c r="H1431">
        <v>235</v>
      </c>
      <c r="I1431">
        <v>3240</v>
      </c>
      <c r="J1431">
        <v>0.60399999999999998</v>
      </c>
      <c r="K1431">
        <v>27</v>
      </c>
      <c r="L1431">
        <v>10</v>
      </c>
      <c r="M1431">
        <v>82</v>
      </c>
      <c r="N1431">
        <v>181</v>
      </c>
      <c r="O1431">
        <v>4</v>
      </c>
      <c r="P1431">
        <v>1</v>
      </c>
      <c r="Q1431">
        <v>0</v>
      </c>
      <c r="R1431">
        <v>15</v>
      </c>
      <c r="S1431">
        <v>0</v>
      </c>
      <c r="T1431">
        <v>0</v>
      </c>
      <c r="U1431">
        <v>0</v>
      </c>
      <c r="V1431">
        <v>1</v>
      </c>
      <c r="W1431">
        <v>1</v>
      </c>
      <c r="X1431">
        <v>0</v>
      </c>
      <c r="Z1431">
        <v>0</v>
      </c>
      <c r="AK1431">
        <v>4</v>
      </c>
      <c r="AL1431">
        <v>2</v>
      </c>
    </row>
    <row r="1432" spans="1:38" x14ac:dyDescent="0.3">
      <c r="A1432">
        <v>351079</v>
      </c>
      <c r="B1432" t="s">
        <v>54</v>
      </c>
      <c r="C1432" t="s">
        <v>726</v>
      </c>
      <c r="D1432">
        <v>2022</v>
      </c>
      <c r="E1432" t="s">
        <v>125</v>
      </c>
      <c r="F1432" t="s">
        <v>126</v>
      </c>
      <c r="G1432">
        <v>387</v>
      </c>
      <c r="H1432">
        <v>242</v>
      </c>
      <c r="I1432">
        <v>2679</v>
      </c>
      <c r="J1432">
        <v>0.625</v>
      </c>
      <c r="K1432">
        <v>19</v>
      </c>
      <c r="L1432">
        <v>11</v>
      </c>
      <c r="M1432">
        <v>60</v>
      </c>
      <c r="N1432">
        <v>42</v>
      </c>
      <c r="O1432">
        <v>1</v>
      </c>
      <c r="AK1432">
        <v>1</v>
      </c>
      <c r="AL1432">
        <v>1</v>
      </c>
    </row>
    <row r="1433" spans="1:38" x14ac:dyDescent="0.3">
      <c r="A1433">
        <v>351079</v>
      </c>
      <c r="B1433" t="s">
        <v>54</v>
      </c>
      <c r="C1433" t="s">
        <v>726</v>
      </c>
      <c r="D1433">
        <v>2023</v>
      </c>
      <c r="E1433" t="s">
        <v>61</v>
      </c>
      <c r="F1433" t="s">
        <v>62</v>
      </c>
      <c r="G1433">
        <v>265</v>
      </c>
      <c r="H1433">
        <v>162</v>
      </c>
      <c r="I1433">
        <v>1755</v>
      </c>
      <c r="J1433">
        <v>0.61099999999999999</v>
      </c>
      <c r="K1433">
        <v>16</v>
      </c>
      <c r="L1433">
        <v>10</v>
      </c>
      <c r="M1433">
        <v>134</v>
      </c>
      <c r="N1433">
        <v>515</v>
      </c>
      <c r="O1433">
        <v>3</v>
      </c>
      <c r="AK1433">
        <v>4</v>
      </c>
      <c r="AL1433">
        <v>1</v>
      </c>
    </row>
    <row r="1434" spans="1:38" x14ac:dyDescent="0.3">
      <c r="A1434">
        <v>351079</v>
      </c>
      <c r="B1434" t="s">
        <v>54</v>
      </c>
      <c r="C1434" t="s">
        <v>726</v>
      </c>
      <c r="D1434">
        <v>2024</v>
      </c>
      <c r="E1434" t="s">
        <v>61</v>
      </c>
      <c r="F1434" t="s">
        <v>62</v>
      </c>
      <c r="G1434">
        <v>317</v>
      </c>
      <c r="H1434">
        <v>199</v>
      </c>
      <c r="I1434">
        <v>2713</v>
      </c>
      <c r="J1434">
        <v>0.628</v>
      </c>
      <c r="K1434">
        <v>21</v>
      </c>
      <c r="L1434">
        <v>9</v>
      </c>
      <c r="M1434">
        <v>112</v>
      </c>
      <c r="N1434">
        <v>283</v>
      </c>
      <c r="O1434">
        <v>2</v>
      </c>
      <c r="AK1434">
        <v>2</v>
      </c>
      <c r="AL1434">
        <v>1</v>
      </c>
    </row>
    <row r="1435" spans="1:38" x14ac:dyDescent="0.3">
      <c r="A1435">
        <v>351143</v>
      </c>
      <c r="B1435" t="s">
        <v>142</v>
      </c>
      <c r="C1435" t="s">
        <v>727</v>
      </c>
      <c r="D1435">
        <v>2020</v>
      </c>
      <c r="E1435" t="s">
        <v>82</v>
      </c>
      <c r="F1435" t="s">
        <v>83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Z1435">
        <v>0</v>
      </c>
    </row>
    <row r="1436" spans="1:38" x14ac:dyDescent="0.3">
      <c r="A1436">
        <v>351143</v>
      </c>
      <c r="B1436" t="s">
        <v>142</v>
      </c>
      <c r="C1436" t="s">
        <v>727</v>
      </c>
      <c r="D1436">
        <v>2021</v>
      </c>
      <c r="E1436" t="s">
        <v>82</v>
      </c>
      <c r="F1436" t="s">
        <v>83</v>
      </c>
      <c r="M1436">
        <v>2</v>
      </c>
      <c r="N1436">
        <v>11</v>
      </c>
      <c r="O1436">
        <v>0</v>
      </c>
      <c r="P1436">
        <v>42</v>
      </c>
      <c r="Q1436">
        <v>3</v>
      </c>
      <c r="R1436">
        <v>653</v>
      </c>
      <c r="S1436">
        <v>0</v>
      </c>
      <c r="T1436">
        <v>0</v>
      </c>
      <c r="U1436">
        <v>0</v>
      </c>
      <c r="V1436">
        <v>1</v>
      </c>
      <c r="W1436">
        <v>1</v>
      </c>
      <c r="X1436">
        <v>0</v>
      </c>
      <c r="Z1436">
        <v>0</v>
      </c>
    </row>
    <row r="1437" spans="1:38" x14ac:dyDescent="0.3">
      <c r="A1437">
        <v>351143</v>
      </c>
      <c r="B1437" t="s">
        <v>142</v>
      </c>
      <c r="C1437" t="s">
        <v>727</v>
      </c>
      <c r="D1437">
        <v>2022</v>
      </c>
      <c r="E1437" t="s">
        <v>82</v>
      </c>
      <c r="F1437" t="s">
        <v>83</v>
      </c>
      <c r="M1437">
        <v>1</v>
      </c>
      <c r="N1437">
        <v>50</v>
      </c>
      <c r="O1437">
        <v>0</v>
      </c>
      <c r="P1437">
        <v>49</v>
      </c>
      <c r="Q1437">
        <v>1</v>
      </c>
      <c r="R1437">
        <v>445</v>
      </c>
      <c r="AK1437">
        <v>2</v>
      </c>
      <c r="AL1437">
        <v>2</v>
      </c>
    </row>
    <row r="1438" spans="1:38" x14ac:dyDescent="0.3">
      <c r="A1438">
        <v>351143</v>
      </c>
      <c r="B1438" t="s">
        <v>142</v>
      </c>
      <c r="C1438" t="s">
        <v>727</v>
      </c>
      <c r="D1438">
        <v>2023</v>
      </c>
      <c r="E1438" t="s">
        <v>82</v>
      </c>
      <c r="F1438" t="s">
        <v>83</v>
      </c>
      <c r="M1438">
        <v>11</v>
      </c>
      <c r="N1438">
        <v>53</v>
      </c>
      <c r="O1438">
        <v>0</v>
      </c>
      <c r="P1438">
        <v>16</v>
      </c>
      <c r="Q1438">
        <v>1</v>
      </c>
      <c r="R1438">
        <v>239</v>
      </c>
    </row>
    <row r="1439" spans="1:38" x14ac:dyDescent="0.3">
      <c r="A1439">
        <v>351143</v>
      </c>
      <c r="B1439" t="s">
        <v>142</v>
      </c>
      <c r="C1439" t="s">
        <v>727</v>
      </c>
      <c r="D1439">
        <v>2024</v>
      </c>
      <c r="E1439" t="s">
        <v>173</v>
      </c>
      <c r="F1439" t="s">
        <v>174</v>
      </c>
      <c r="P1439">
        <v>15</v>
      </c>
      <c r="Q1439">
        <v>0</v>
      </c>
      <c r="R1439">
        <v>185</v>
      </c>
    </row>
    <row r="1440" spans="1:38" x14ac:dyDescent="0.3">
      <c r="A1440">
        <v>351261</v>
      </c>
      <c r="B1440" t="s">
        <v>100</v>
      </c>
      <c r="C1440" t="s">
        <v>728</v>
      </c>
      <c r="D1440">
        <v>2020</v>
      </c>
      <c r="E1440" t="s">
        <v>382</v>
      </c>
      <c r="F1440" t="s">
        <v>383</v>
      </c>
      <c r="S1440">
        <v>0</v>
      </c>
      <c r="T1440">
        <v>0</v>
      </c>
      <c r="U1440">
        <v>0</v>
      </c>
      <c r="V1440">
        <v>1</v>
      </c>
      <c r="W1440">
        <v>1</v>
      </c>
      <c r="X1440">
        <v>0</v>
      </c>
      <c r="Z1440">
        <v>0</v>
      </c>
    </row>
    <row r="1441" spans="1:38" x14ac:dyDescent="0.3">
      <c r="A1441">
        <v>351261</v>
      </c>
      <c r="B1441" t="s">
        <v>100</v>
      </c>
      <c r="C1441" t="s">
        <v>728</v>
      </c>
      <c r="D1441">
        <v>2023</v>
      </c>
      <c r="E1441" t="s">
        <v>382</v>
      </c>
      <c r="F1441" t="s">
        <v>383</v>
      </c>
      <c r="M1441">
        <v>1</v>
      </c>
      <c r="N1441">
        <v>3</v>
      </c>
      <c r="O1441">
        <v>1</v>
      </c>
    </row>
    <row r="1442" spans="1:38" x14ac:dyDescent="0.3">
      <c r="A1442">
        <v>351261</v>
      </c>
      <c r="B1442" t="s">
        <v>100</v>
      </c>
      <c r="C1442" t="s">
        <v>728</v>
      </c>
      <c r="D1442">
        <v>2024</v>
      </c>
      <c r="E1442" t="s">
        <v>382</v>
      </c>
      <c r="F1442" t="s">
        <v>383</v>
      </c>
      <c r="S1442">
        <v>0</v>
      </c>
      <c r="T1442">
        <v>0</v>
      </c>
      <c r="U1442">
        <v>0</v>
      </c>
      <c r="V1442">
        <v>1</v>
      </c>
      <c r="W1442">
        <v>1</v>
      </c>
      <c r="X1442">
        <v>0</v>
      </c>
      <c r="Z1442">
        <v>0</v>
      </c>
    </row>
    <row r="1443" spans="1:38" x14ac:dyDescent="0.3">
      <c r="A1443">
        <v>351300</v>
      </c>
      <c r="B1443" t="s">
        <v>38</v>
      </c>
      <c r="C1443" t="s">
        <v>729</v>
      </c>
      <c r="D1443">
        <v>2020</v>
      </c>
      <c r="E1443" t="s">
        <v>730</v>
      </c>
      <c r="F1443" t="s">
        <v>731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Z1443">
        <v>0</v>
      </c>
    </row>
    <row r="1444" spans="1:38" x14ac:dyDescent="0.3">
      <c r="A1444">
        <v>351300</v>
      </c>
      <c r="B1444" t="s">
        <v>38</v>
      </c>
      <c r="C1444" t="s">
        <v>729</v>
      </c>
      <c r="D1444">
        <v>2021</v>
      </c>
      <c r="E1444" t="s">
        <v>730</v>
      </c>
      <c r="F1444" t="s">
        <v>731</v>
      </c>
      <c r="S1444">
        <v>1</v>
      </c>
      <c r="T1444">
        <v>0</v>
      </c>
      <c r="U1444">
        <v>5</v>
      </c>
      <c r="V1444">
        <v>22</v>
      </c>
      <c r="W1444">
        <v>42</v>
      </c>
      <c r="X1444">
        <v>9</v>
      </c>
      <c r="Z1444">
        <v>0</v>
      </c>
      <c r="AK1444">
        <v>0</v>
      </c>
      <c r="AL1444">
        <v>0</v>
      </c>
    </row>
    <row r="1445" spans="1:38" x14ac:dyDescent="0.3">
      <c r="A1445">
        <v>351300</v>
      </c>
      <c r="B1445" t="s">
        <v>38</v>
      </c>
      <c r="C1445" t="s">
        <v>729</v>
      </c>
      <c r="D1445">
        <v>2022</v>
      </c>
      <c r="E1445" t="s">
        <v>730</v>
      </c>
      <c r="F1445" t="s">
        <v>731</v>
      </c>
      <c r="S1445">
        <v>0</v>
      </c>
      <c r="T1445">
        <v>1</v>
      </c>
      <c r="U1445">
        <v>1</v>
      </c>
      <c r="V1445">
        <v>13</v>
      </c>
      <c r="W1445">
        <v>26</v>
      </c>
      <c r="X1445">
        <v>4.5</v>
      </c>
      <c r="Z1445">
        <v>0</v>
      </c>
    </row>
    <row r="1446" spans="1:38" x14ac:dyDescent="0.3">
      <c r="A1446">
        <v>351300</v>
      </c>
      <c r="B1446" t="s">
        <v>38</v>
      </c>
      <c r="C1446" t="s">
        <v>729</v>
      </c>
      <c r="D1446">
        <v>2023</v>
      </c>
      <c r="E1446" t="s">
        <v>730</v>
      </c>
      <c r="F1446" t="s">
        <v>731</v>
      </c>
      <c r="S1446">
        <v>0</v>
      </c>
      <c r="T1446">
        <v>4</v>
      </c>
      <c r="U1446">
        <v>1</v>
      </c>
      <c r="V1446">
        <v>19</v>
      </c>
      <c r="W1446">
        <v>39</v>
      </c>
      <c r="X1446">
        <v>6</v>
      </c>
      <c r="Z1446">
        <v>0</v>
      </c>
    </row>
    <row r="1447" spans="1:38" x14ac:dyDescent="0.3">
      <c r="A1447">
        <v>351300</v>
      </c>
      <c r="B1447" t="s">
        <v>38</v>
      </c>
      <c r="C1447" t="s">
        <v>729</v>
      </c>
      <c r="D1447">
        <v>2024</v>
      </c>
      <c r="E1447" t="s">
        <v>48</v>
      </c>
      <c r="F1447" t="s">
        <v>49</v>
      </c>
      <c r="S1447">
        <v>1</v>
      </c>
      <c r="T1447">
        <v>0</v>
      </c>
      <c r="U1447">
        <v>2</v>
      </c>
      <c r="V1447">
        <v>14</v>
      </c>
      <c r="W1447">
        <v>42</v>
      </c>
      <c r="X1447">
        <v>7.5</v>
      </c>
      <c r="Z1447">
        <v>0</v>
      </c>
      <c r="AK1447">
        <v>0</v>
      </c>
      <c r="AL1447">
        <v>0</v>
      </c>
    </row>
    <row r="1448" spans="1:38" x14ac:dyDescent="0.3">
      <c r="A1448">
        <v>351359</v>
      </c>
      <c r="B1448" t="s">
        <v>50</v>
      </c>
      <c r="C1448" t="s">
        <v>732</v>
      </c>
      <c r="D1448">
        <v>2021</v>
      </c>
      <c r="E1448" t="s">
        <v>278</v>
      </c>
      <c r="F1448" t="s">
        <v>279</v>
      </c>
      <c r="S1448">
        <v>9</v>
      </c>
      <c r="T1448">
        <v>0</v>
      </c>
      <c r="U1448">
        <v>0</v>
      </c>
      <c r="V1448">
        <v>22</v>
      </c>
      <c r="W1448">
        <v>31</v>
      </c>
      <c r="X1448">
        <v>0</v>
      </c>
      <c r="Z1448">
        <v>0</v>
      </c>
    </row>
    <row r="1449" spans="1:38" x14ac:dyDescent="0.3">
      <c r="A1449">
        <v>351359</v>
      </c>
      <c r="B1449" t="s">
        <v>50</v>
      </c>
      <c r="C1449" t="s">
        <v>732</v>
      </c>
      <c r="D1449">
        <v>2022</v>
      </c>
      <c r="E1449" t="s">
        <v>278</v>
      </c>
      <c r="F1449" t="s">
        <v>279</v>
      </c>
      <c r="S1449">
        <v>4</v>
      </c>
      <c r="T1449">
        <v>0</v>
      </c>
      <c r="U1449">
        <v>1</v>
      </c>
      <c r="V1449">
        <v>27</v>
      </c>
      <c r="W1449">
        <v>36</v>
      </c>
      <c r="X1449">
        <v>2</v>
      </c>
      <c r="Y1449">
        <v>2</v>
      </c>
      <c r="Z1449">
        <v>0</v>
      </c>
    </row>
    <row r="1450" spans="1:38" x14ac:dyDescent="0.3">
      <c r="A1450">
        <v>351359</v>
      </c>
      <c r="B1450" t="s">
        <v>50</v>
      </c>
      <c r="C1450" t="s">
        <v>732</v>
      </c>
      <c r="D1450">
        <v>2023</v>
      </c>
      <c r="E1450" t="s">
        <v>278</v>
      </c>
      <c r="F1450" t="s">
        <v>279</v>
      </c>
      <c r="S1450">
        <v>8</v>
      </c>
      <c r="T1450">
        <v>0</v>
      </c>
      <c r="U1450">
        <v>1</v>
      </c>
      <c r="V1450">
        <v>27</v>
      </c>
      <c r="W1450">
        <v>39</v>
      </c>
      <c r="X1450">
        <v>1</v>
      </c>
      <c r="Y1450">
        <v>1</v>
      </c>
      <c r="Z1450">
        <v>0</v>
      </c>
      <c r="AK1450">
        <v>0</v>
      </c>
      <c r="AL1450">
        <v>0</v>
      </c>
    </row>
    <row r="1451" spans="1:38" x14ac:dyDescent="0.3">
      <c r="A1451">
        <v>351359</v>
      </c>
      <c r="B1451" t="s">
        <v>50</v>
      </c>
      <c r="C1451" t="s">
        <v>732</v>
      </c>
      <c r="D1451">
        <v>2024</v>
      </c>
      <c r="E1451" t="s">
        <v>278</v>
      </c>
      <c r="F1451" t="s">
        <v>279</v>
      </c>
      <c r="S1451">
        <v>11</v>
      </c>
      <c r="T1451">
        <v>0</v>
      </c>
      <c r="U1451">
        <v>0</v>
      </c>
      <c r="V1451">
        <v>25</v>
      </c>
      <c r="W1451">
        <v>42</v>
      </c>
      <c r="X1451">
        <v>1.5</v>
      </c>
      <c r="Y1451">
        <v>2</v>
      </c>
      <c r="Z1451">
        <v>0</v>
      </c>
    </row>
    <row r="1452" spans="1:38" x14ac:dyDescent="0.3">
      <c r="A1452">
        <v>351603</v>
      </c>
      <c r="B1452" t="s">
        <v>50</v>
      </c>
      <c r="C1452" t="s">
        <v>733</v>
      </c>
      <c r="D1452">
        <v>2020</v>
      </c>
      <c r="E1452" t="s">
        <v>228</v>
      </c>
      <c r="F1452" t="s">
        <v>229</v>
      </c>
      <c r="S1452">
        <v>0</v>
      </c>
      <c r="T1452">
        <v>0</v>
      </c>
      <c r="U1452">
        <v>0</v>
      </c>
      <c r="V1452">
        <v>2</v>
      </c>
      <c r="W1452">
        <v>3</v>
      </c>
      <c r="X1452">
        <v>0</v>
      </c>
      <c r="Z1452">
        <v>0</v>
      </c>
    </row>
    <row r="1453" spans="1:38" x14ac:dyDescent="0.3">
      <c r="A1453">
        <v>351603</v>
      </c>
      <c r="B1453" t="s">
        <v>50</v>
      </c>
      <c r="C1453" t="s">
        <v>733</v>
      </c>
      <c r="D1453">
        <v>2021</v>
      </c>
      <c r="E1453" t="s">
        <v>228</v>
      </c>
      <c r="F1453" t="s">
        <v>229</v>
      </c>
      <c r="S1453">
        <v>0</v>
      </c>
      <c r="T1453">
        <v>0</v>
      </c>
      <c r="U1453">
        <v>0</v>
      </c>
      <c r="V1453">
        <v>1</v>
      </c>
      <c r="W1453">
        <v>2</v>
      </c>
      <c r="X1453">
        <v>0</v>
      </c>
      <c r="Z1453">
        <v>0</v>
      </c>
      <c r="AK1453">
        <v>0</v>
      </c>
      <c r="AL1453">
        <v>0</v>
      </c>
    </row>
    <row r="1454" spans="1:38" x14ac:dyDescent="0.3">
      <c r="A1454">
        <v>351603</v>
      </c>
      <c r="B1454" t="s">
        <v>50</v>
      </c>
      <c r="C1454" t="s">
        <v>733</v>
      </c>
      <c r="D1454">
        <v>2022</v>
      </c>
      <c r="E1454" t="s">
        <v>228</v>
      </c>
      <c r="F1454" t="s">
        <v>229</v>
      </c>
      <c r="S1454">
        <v>1</v>
      </c>
      <c r="T1454">
        <v>0</v>
      </c>
      <c r="U1454">
        <v>0</v>
      </c>
      <c r="V1454">
        <v>12</v>
      </c>
      <c r="W1454">
        <v>14</v>
      </c>
      <c r="X1454">
        <v>0</v>
      </c>
      <c r="Y1454">
        <v>2</v>
      </c>
      <c r="Z1454">
        <v>1</v>
      </c>
    </row>
    <row r="1455" spans="1:38" x14ac:dyDescent="0.3">
      <c r="A1455">
        <v>351603</v>
      </c>
      <c r="B1455" t="s">
        <v>50</v>
      </c>
      <c r="C1455" t="s">
        <v>733</v>
      </c>
      <c r="D1455">
        <v>2023</v>
      </c>
      <c r="E1455" t="s">
        <v>228</v>
      </c>
      <c r="F1455" t="s">
        <v>229</v>
      </c>
      <c r="S1455">
        <v>6</v>
      </c>
      <c r="T1455">
        <v>0</v>
      </c>
      <c r="U1455">
        <v>0</v>
      </c>
      <c r="V1455">
        <v>30</v>
      </c>
      <c r="W1455">
        <v>39</v>
      </c>
      <c r="X1455">
        <v>1</v>
      </c>
      <c r="Y1455">
        <v>2</v>
      </c>
      <c r="Z1455">
        <v>0</v>
      </c>
    </row>
    <row r="1456" spans="1:38" x14ac:dyDescent="0.3">
      <c r="A1456">
        <v>351603</v>
      </c>
      <c r="B1456" t="s">
        <v>50</v>
      </c>
      <c r="C1456" t="s">
        <v>733</v>
      </c>
      <c r="D1456">
        <v>2024</v>
      </c>
      <c r="E1456" t="s">
        <v>228</v>
      </c>
      <c r="F1456" t="s">
        <v>229</v>
      </c>
      <c r="S1456">
        <v>3</v>
      </c>
      <c r="T1456">
        <v>0</v>
      </c>
      <c r="U1456">
        <v>0</v>
      </c>
      <c r="V1456">
        <v>41</v>
      </c>
      <c r="W1456">
        <v>47</v>
      </c>
      <c r="X1456">
        <v>2</v>
      </c>
      <c r="Y1456">
        <v>3</v>
      </c>
      <c r="Z1456">
        <v>0</v>
      </c>
    </row>
    <row r="1457" spans="1:38" x14ac:dyDescent="0.3">
      <c r="A1457">
        <v>311444</v>
      </c>
      <c r="B1457" t="s">
        <v>142</v>
      </c>
      <c r="C1457" t="s">
        <v>854</v>
      </c>
      <c r="D1457">
        <v>2018</v>
      </c>
      <c r="E1457" t="s">
        <v>855</v>
      </c>
      <c r="P1457">
        <v>6</v>
      </c>
      <c r="Q1457">
        <v>1</v>
      </c>
      <c r="R1457">
        <v>65</v>
      </c>
    </row>
    <row r="1458" spans="1:38" x14ac:dyDescent="0.3">
      <c r="A1458">
        <v>311444</v>
      </c>
      <c r="B1458" t="s">
        <v>142</v>
      </c>
      <c r="C1458" t="s">
        <v>854</v>
      </c>
      <c r="D1458">
        <v>2019</v>
      </c>
      <c r="E1458" t="s">
        <v>855</v>
      </c>
      <c r="P1458">
        <v>20</v>
      </c>
      <c r="Q1458">
        <v>5</v>
      </c>
      <c r="R1458">
        <v>261</v>
      </c>
    </row>
    <row r="1459" spans="1:38" x14ac:dyDescent="0.3">
      <c r="A1459">
        <v>311444</v>
      </c>
      <c r="B1459" t="s">
        <v>142</v>
      </c>
      <c r="C1459" t="s">
        <v>854</v>
      </c>
      <c r="D1459">
        <v>2022</v>
      </c>
      <c r="E1459" t="s">
        <v>855</v>
      </c>
      <c r="M1459">
        <v>1</v>
      </c>
      <c r="N1459">
        <v>1</v>
      </c>
      <c r="O1459">
        <v>1</v>
      </c>
      <c r="P1459">
        <v>31</v>
      </c>
      <c r="Q1459">
        <v>0</v>
      </c>
      <c r="R1459">
        <v>275</v>
      </c>
    </row>
    <row r="1460" spans="1:38" x14ac:dyDescent="0.3">
      <c r="A1460">
        <v>311444</v>
      </c>
      <c r="B1460" t="s">
        <v>142</v>
      </c>
      <c r="C1460" t="s">
        <v>854</v>
      </c>
      <c r="D1460">
        <v>2023</v>
      </c>
      <c r="E1460" t="s">
        <v>236</v>
      </c>
      <c r="F1460" t="s">
        <v>237</v>
      </c>
      <c r="P1460">
        <v>63</v>
      </c>
      <c r="Q1460">
        <v>3</v>
      </c>
      <c r="R1460">
        <v>612</v>
      </c>
    </row>
    <row r="1461" spans="1:38" x14ac:dyDescent="0.3">
      <c r="A1461">
        <v>351662</v>
      </c>
      <c r="B1461" t="s">
        <v>142</v>
      </c>
      <c r="C1461" t="s">
        <v>734</v>
      </c>
      <c r="D1461">
        <v>2020</v>
      </c>
      <c r="E1461" t="s">
        <v>130</v>
      </c>
      <c r="F1461" t="s">
        <v>131</v>
      </c>
      <c r="P1461">
        <v>3</v>
      </c>
      <c r="Q1461">
        <v>0</v>
      </c>
      <c r="R1461">
        <v>33</v>
      </c>
      <c r="AA1461">
        <v>0</v>
      </c>
      <c r="AB1461">
        <v>0</v>
      </c>
      <c r="AC1461">
        <v>1</v>
      </c>
      <c r="AD1461">
        <v>0</v>
      </c>
      <c r="AE1461">
        <v>0</v>
      </c>
      <c r="AK1461">
        <v>1</v>
      </c>
      <c r="AL1461">
        <v>1</v>
      </c>
    </row>
    <row r="1462" spans="1:38" x14ac:dyDescent="0.3">
      <c r="A1462">
        <v>351662</v>
      </c>
      <c r="B1462" t="s">
        <v>142</v>
      </c>
      <c r="C1462" t="s">
        <v>734</v>
      </c>
      <c r="D1462">
        <v>2021</v>
      </c>
      <c r="E1462" t="s">
        <v>130</v>
      </c>
      <c r="F1462" t="s">
        <v>131</v>
      </c>
      <c r="P1462">
        <v>4</v>
      </c>
      <c r="Q1462">
        <v>0</v>
      </c>
      <c r="R1462">
        <v>46</v>
      </c>
      <c r="AA1462">
        <v>0</v>
      </c>
      <c r="AB1462">
        <v>0</v>
      </c>
      <c r="AC1462">
        <v>1</v>
      </c>
      <c r="AD1462">
        <v>0</v>
      </c>
      <c r="AE1462">
        <v>0</v>
      </c>
    </row>
    <row r="1463" spans="1:38" x14ac:dyDescent="0.3">
      <c r="A1463">
        <v>351662</v>
      </c>
      <c r="B1463" t="s">
        <v>142</v>
      </c>
      <c r="C1463" t="s">
        <v>734</v>
      </c>
      <c r="D1463">
        <v>2022</v>
      </c>
      <c r="E1463" t="s">
        <v>130</v>
      </c>
      <c r="F1463" t="s">
        <v>131</v>
      </c>
      <c r="P1463">
        <v>48</v>
      </c>
      <c r="Q1463">
        <v>7</v>
      </c>
      <c r="R1463">
        <v>602</v>
      </c>
      <c r="S1463">
        <v>0</v>
      </c>
      <c r="T1463">
        <v>0</v>
      </c>
      <c r="U1463">
        <v>0</v>
      </c>
      <c r="V1463">
        <v>1</v>
      </c>
      <c r="W1463">
        <v>1</v>
      </c>
      <c r="X1463">
        <v>0</v>
      </c>
      <c r="Z1463">
        <v>0</v>
      </c>
      <c r="AK1463">
        <v>1</v>
      </c>
      <c r="AL1463">
        <v>1</v>
      </c>
    </row>
    <row r="1464" spans="1:38" x14ac:dyDescent="0.3">
      <c r="A1464">
        <v>351662</v>
      </c>
      <c r="B1464" t="s">
        <v>142</v>
      </c>
      <c r="C1464" t="s">
        <v>734</v>
      </c>
      <c r="D1464">
        <v>2023</v>
      </c>
      <c r="E1464" t="s">
        <v>529</v>
      </c>
      <c r="F1464" t="s">
        <v>530</v>
      </c>
      <c r="P1464">
        <v>30</v>
      </c>
      <c r="Q1464">
        <v>4</v>
      </c>
      <c r="R1464">
        <v>449</v>
      </c>
      <c r="S1464">
        <v>0</v>
      </c>
      <c r="T1464">
        <v>0</v>
      </c>
      <c r="U1464">
        <v>0</v>
      </c>
      <c r="V1464">
        <v>1</v>
      </c>
      <c r="W1464">
        <v>1</v>
      </c>
      <c r="X1464">
        <v>0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</row>
    <row r="1465" spans="1:38" x14ac:dyDescent="0.3">
      <c r="A1465">
        <v>351662</v>
      </c>
      <c r="B1465" t="s">
        <v>142</v>
      </c>
      <c r="C1465" t="s">
        <v>734</v>
      </c>
      <c r="D1465">
        <v>2024</v>
      </c>
      <c r="E1465" t="s">
        <v>529</v>
      </c>
      <c r="F1465" t="s">
        <v>530</v>
      </c>
      <c r="P1465">
        <v>27</v>
      </c>
      <c r="Q1465">
        <v>3</v>
      </c>
      <c r="R1465">
        <v>401</v>
      </c>
    </row>
    <row r="1466" spans="1:38" x14ac:dyDescent="0.3">
      <c r="A1466">
        <v>351743</v>
      </c>
      <c r="B1466" t="s">
        <v>54</v>
      </c>
      <c r="C1466" t="s">
        <v>735</v>
      </c>
      <c r="D1466">
        <v>2020</v>
      </c>
      <c r="E1466" t="s">
        <v>58</v>
      </c>
      <c r="F1466" t="s">
        <v>59</v>
      </c>
      <c r="G1466">
        <v>7</v>
      </c>
      <c r="H1466">
        <v>6</v>
      </c>
      <c r="I1466">
        <v>72</v>
      </c>
      <c r="J1466">
        <v>0.85699999999999998</v>
      </c>
      <c r="K1466">
        <v>1</v>
      </c>
      <c r="L1466">
        <v>0</v>
      </c>
    </row>
    <row r="1467" spans="1:38" x14ac:dyDescent="0.3">
      <c r="A1467">
        <v>351743</v>
      </c>
      <c r="B1467" t="s">
        <v>54</v>
      </c>
      <c r="C1467" t="s">
        <v>735</v>
      </c>
      <c r="D1467">
        <v>2021</v>
      </c>
      <c r="E1467" t="s">
        <v>58</v>
      </c>
      <c r="F1467" t="s">
        <v>59</v>
      </c>
      <c r="G1467">
        <v>58</v>
      </c>
      <c r="H1467">
        <v>46</v>
      </c>
      <c r="I1467">
        <v>345</v>
      </c>
      <c r="J1467">
        <v>0.79300000000000004</v>
      </c>
      <c r="K1467">
        <v>2</v>
      </c>
      <c r="L1467">
        <v>0</v>
      </c>
      <c r="M1467">
        <v>22</v>
      </c>
      <c r="N1467">
        <v>92</v>
      </c>
      <c r="O1467">
        <v>1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Z1467">
        <v>0</v>
      </c>
      <c r="AK1467">
        <v>1</v>
      </c>
      <c r="AL1467">
        <v>0</v>
      </c>
    </row>
    <row r="1468" spans="1:38" x14ac:dyDescent="0.3">
      <c r="A1468">
        <v>351743</v>
      </c>
      <c r="B1468" t="s">
        <v>54</v>
      </c>
      <c r="C1468" t="s">
        <v>735</v>
      </c>
      <c r="D1468">
        <v>2022</v>
      </c>
      <c r="E1468" t="s">
        <v>58</v>
      </c>
      <c r="F1468" t="s">
        <v>59</v>
      </c>
      <c r="G1468">
        <v>379</v>
      </c>
      <c r="H1468">
        <v>244</v>
      </c>
      <c r="I1468">
        <v>2727</v>
      </c>
      <c r="J1468">
        <v>0.64400000000000002</v>
      </c>
      <c r="K1468">
        <v>13</v>
      </c>
      <c r="L1468">
        <v>7</v>
      </c>
      <c r="M1468">
        <v>139</v>
      </c>
      <c r="N1468">
        <v>590</v>
      </c>
      <c r="O1468">
        <v>6</v>
      </c>
      <c r="AK1468">
        <v>3</v>
      </c>
      <c r="AL1468">
        <v>3</v>
      </c>
    </row>
    <row r="1469" spans="1:38" x14ac:dyDescent="0.3">
      <c r="A1469">
        <v>351743</v>
      </c>
      <c r="B1469" t="s">
        <v>54</v>
      </c>
      <c r="C1469" t="s">
        <v>735</v>
      </c>
      <c r="D1469">
        <v>2023</v>
      </c>
      <c r="E1469" t="s">
        <v>58</v>
      </c>
      <c r="F1469" t="s">
        <v>59</v>
      </c>
      <c r="G1469">
        <v>367</v>
      </c>
      <c r="H1469">
        <v>243</v>
      </c>
      <c r="I1469">
        <v>3302</v>
      </c>
      <c r="J1469">
        <v>0.66200000000000003</v>
      </c>
      <c r="K1469">
        <v>21</v>
      </c>
      <c r="L1469">
        <v>6</v>
      </c>
      <c r="M1469">
        <v>113</v>
      </c>
      <c r="N1469">
        <v>319</v>
      </c>
      <c r="O1469">
        <v>8</v>
      </c>
      <c r="AK1469">
        <v>3</v>
      </c>
      <c r="AL1469">
        <v>0</v>
      </c>
    </row>
    <row r="1470" spans="1:38" x14ac:dyDescent="0.3">
      <c r="A1470">
        <v>351743</v>
      </c>
      <c r="B1470" t="s">
        <v>54</v>
      </c>
      <c r="C1470" t="s">
        <v>735</v>
      </c>
      <c r="D1470">
        <v>2024</v>
      </c>
      <c r="E1470" t="s">
        <v>58</v>
      </c>
      <c r="F1470" t="s">
        <v>59</v>
      </c>
      <c r="G1470">
        <v>320</v>
      </c>
      <c r="H1470">
        <v>200</v>
      </c>
      <c r="I1470">
        <v>2525</v>
      </c>
      <c r="J1470">
        <v>0.625</v>
      </c>
      <c r="K1470">
        <v>11</v>
      </c>
      <c r="L1470">
        <v>2</v>
      </c>
      <c r="M1470">
        <v>87</v>
      </c>
      <c r="N1470">
        <v>223</v>
      </c>
      <c r="O1470">
        <v>5</v>
      </c>
      <c r="AK1470">
        <v>3</v>
      </c>
      <c r="AL1470">
        <v>1</v>
      </c>
    </row>
    <row r="1471" spans="1:38" x14ac:dyDescent="0.3">
      <c r="A1471">
        <v>352239</v>
      </c>
      <c r="B1471" t="s">
        <v>38</v>
      </c>
      <c r="C1471" t="s">
        <v>736</v>
      </c>
      <c r="D1471">
        <v>2022</v>
      </c>
      <c r="E1471" t="s">
        <v>197</v>
      </c>
      <c r="F1471" t="s">
        <v>198</v>
      </c>
      <c r="S1471">
        <v>0</v>
      </c>
      <c r="T1471">
        <v>0</v>
      </c>
      <c r="U1471">
        <v>0</v>
      </c>
      <c r="V1471">
        <v>5</v>
      </c>
      <c r="W1471">
        <v>15</v>
      </c>
      <c r="X1471">
        <v>0.5</v>
      </c>
      <c r="Z1471">
        <v>0</v>
      </c>
    </row>
    <row r="1472" spans="1:38" x14ac:dyDescent="0.3">
      <c r="A1472">
        <v>352239</v>
      </c>
      <c r="B1472" t="s">
        <v>38</v>
      </c>
      <c r="C1472" t="s">
        <v>736</v>
      </c>
      <c r="D1472">
        <v>2023</v>
      </c>
      <c r="E1472" t="s">
        <v>197</v>
      </c>
      <c r="F1472" t="s">
        <v>198</v>
      </c>
      <c r="S1472">
        <v>2</v>
      </c>
      <c r="T1472">
        <v>4</v>
      </c>
      <c r="U1472">
        <v>4.5</v>
      </c>
      <c r="V1472">
        <v>14</v>
      </c>
      <c r="W1472">
        <v>40</v>
      </c>
      <c r="X1472">
        <v>8</v>
      </c>
      <c r="Z1472">
        <v>0</v>
      </c>
    </row>
    <row r="1473" spans="1:38" x14ac:dyDescent="0.3">
      <c r="A1473">
        <v>352239</v>
      </c>
      <c r="B1473" t="s">
        <v>38</v>
      </c>
      <c r="C1473" t="s">
        <v>736</v>
      </c>
      <c r="D1473">
        <v>2024</v>
      </c>
      <c r="E1473" t="s">
        <v>197</v>
      </c>
      <c r="F1473" t="s">
        <v>198</v>
      </c>
      <c r="S1473">
        <v>0</v>
      </c>
      <c r="T1473">
        <v>1</v>
      </c>
      <c r="U1473">
        <v>2</v>
      </c>
      <c r="V1473">
        <v>15</v>
      </c>
      <c r="W1473">
        <v>24</v>
      </c>
      <c r="X1473">
        <v>4</v>
      </c>
      <c r="Z1473">
        <v>0</v>
      </c>
    </row>
    <row r="1474" spans="1:38" x14ac:dyDescent="0.3">
      <c r="A1474">
        <v>352510</v>
      </c>
      <c r="B1474" t="s">
        <v>46</v>
      </c>
      <c r="C1474" t="s">
        <v>737</v>
      </c>
      <c r="D1474">
        <v>2022</v>
      </c>
      <c r="E1474" t="s">
        <v>228</v>
      </c>
      <c r="F1474" t="s">
        <v>229</v>
      </c>
      <c r="M1474">
        <v>3</v>
      </c>
      <c r="N1474">
        <v>10</v>
      </c>
      <c r="O1474">
        <v>1</v>
      </c>
      <c r="P1474">
        <v>68</v>
      </c>
      <c r="Q1474">
        <v>6</v>
      </c>
      <c r="R1474">
        <v>928</v>
      </c>
      <c r="S1474">
        <v>0</v>
      </c>
      <c r="T1474">
        <v>0</v>
      </c>
      <c r="U1474">
        <v>0</v>
      </c>
      <c r="V1474">
        <v>1</v>
      </c>
      <c r="W1474">
        <v>1</v>
      </c>
      <c r="X1474">
        <v>0</v>
      </c>
      <c r="Z1474">
        <v>0</v>
      </c>
      <c r="AK1474">
        <v>3</v>
      </c>
      <c r="AL1474">
        <v>1</v>
      </c>
    </row>
    <row r="1475" spans="1:38" x14ac:dyDescent="0.3">
      <c r="A1475">
        <v>352510</v>
      </c>
      <c r="B1475" t="s">
        <v>46</v>
      </c>
      <c r="C1475" t="s">
        <v>737</v>
      </c>
      <c r="D1475">
        <v>2023</v>
      </c>
      <c r="E1475" t="s">
        <v>228</v>
      </c>
      <c r="F1475" t="s">
        <v>229</v>
      </c>
      <c r="P1475">
        <v>3</v>
      </c>
      <c r="Q1475">
        <v>1</v>
      </c>
      <c r="R1475">
        <v>37</v>
      </c>
    </row>
    <row r="1476" spans="1:38" x14ac:dyDescent="0.3">
      <c r="A1476">
        <v>352510</v>
      </c>
      <c r="B1476" t="s">
        <v>46</v>
      </c>
      <c r="C1476" t="s">
        <v>737</v>
      </c>
      <c r="D1476">
        <v>2024</v>
      </c>
      <c r="E1476" t="s">
        <v>529</v>
      </c>
      <c r="F1476" t="s">
        <v>530</v>
      </c>
      <c r="M1476">
        <v>5</v>
      </c>
      <c r="N1476">
        <v>4</v>
      </c>
      <c r="O1476">
        <v>0</v>
      </c>
      <c r="P1476">
        <v>28</v>
      </c>
      <c r="Q1476">
        <v>6</v>
      </c>
      <c r="R1476">
        <v>553</v>
      </c>
      <c r="S1476">
        <v>0</v>
      </c>
      <c r="T1476">
        <v>0</v>
      </c>
      <c r="U1476">
        <v>0</v>
      </c>
      <c r="V1476">
        <v>1</v>
      </c>
      <c r="W1476">
        <v>1</v>
      </c>
      <c r="X1476">
        <v>0</v>
      </c>
      <c r="Z1476">
        <v>0</v>
      </c>
      <c r="AK1476">
        <v>1</v>
      </c>
      <c r="AL1476">
        <v>1</v>
      </c>
    </row>
    <row r="1477" spans="1:38" x14ac:dyDescent="0.3">
      <c r="A1477">
        <v>352880</v>
      </c>
      <c r="B1477" t="s">
        <v>46</v>
      </c>
      <c r="C1477" t="s">
        <v>738</v>
      </c>
      <c r="D1477">
        <v>2021</v>
      </c>
      <c r="E1477" t="s">
        <v>739</v>
      </c>
      <c r="F1477" t="s">
        <v>740</v>
      </c>
      <c r="P1477">
        <v>3</v>
      </c>
      <c r="Q1477">
        <v>1</v>
      </c>
      <c r="R1477">
        <v>65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0</v>
      </c>
      <c r="Z1477">
        <v>0</v>
      </c>
      <c r="AF1477">
        <v>-0.5</v>
      </c>
      <c r="AG1477">
        <v>0</v>
      </c>
      <c r="AH1477">
        <v>2</v>
      </c>
      <c r="AI1477">
        <v>0</v>
      </c>
      <c r="AJ1477">
        <v>-1</v>
      </c>
    </row>
    <row r="1478" spans="1:38" x14ac:dyDescent="0.3">
      <c r="A1478">
        <v>352880</v>
      </c>
      <c r="B1478" t="s">
        <v>46</v>
      </c>
      <c r="C1478" t="s">
        <v>738</v>
      </c>
      <c r="D1478">
        <v>2022</v>
      </c>
      <c r="E1478" t="s">
        <v>739</v>
      </c>
      <c r="F1478" t="s">
        <v>740</v>
      </c>
      <c r="M1478">
        <v>4</v>
      </c>
      <c r="N1478">
        <v>-11</v>
      </c>
      <c r="O1478">
        <v>0</v>
      </c>
      <c r="P1478">
        <v>59</v>
      </c>
      <c r="Q1478">
        <v>6</v>
      </c>
      <c r="R1478">
        <v>558</v>
      </c>
      <c r="AA1478">
        <v>21.5</v>
      </c>
      <c r="AB1478">
        <v>47</v>
      </c>
      <c r="AC1478">
        <v>18</v>
      </c>
      <c r="AD1478">
        <v>0</v>
      </c>
      <c r="AE1478">
        <v>387</v>
      </c>
      <c r="AF1478">
        <v>1.3</v>
      </c>
      <c r="AG1478">
        <v>10</v>
      </c>
      <c r="AH1478">
        <v>4</v>
      </c>
      <c r="AI1478">
        <v>0</v>
      </c>
      <c r="AJ1478">
        <v>5</v>
      </c>
    </row>
    <row r="1479" spans="1:38" x14ac:dyDescent="0.3">
      <c r="A1479">
        <v>352880</v>
      </c>
      <c r="B1479" t="s">
        <v>46</v>
      </c>
      <c r="C1479" t="s">
        <v>738</v>
      </c>
      <c r="D1479">
        <v>2023</v>
      </c>
      <c r="E1479" t="s">
        <v>739</v>
      </c>
      <c r="F1479" t="s">
        <v>740</v>
      </c>
      <c r="M1479">
        <v>1</v>
      </c>
      <c r="N1479">
        <v>8</v>
      </c>
      <c r="O1479">
        <v>0</v>
      </c>
      <c r="P1479">
        <v>77</v>
      </c>
      <c r="Q1479">
        <v>8</v>
      </c>
      <c r="R1479">
        <v>853</v>
      </c>
      <c r="AA1479">
        <v>20</v>
      </c>
      <c r="AB1479">
        <v>29</v>
      </c>
      <c r="AC1479">
        <v>2</v>
      </c>
      <c r="AD1479">
        <v>0</v>
      </c>
      <c r="AE1479">
        <v>40</v>
      </c>
      <c r="AF1479">
        <v>6.4</v>
      </c>
      <c r="AG1479">
        <v>11</v>
      </c>
      <c r="AH1479">
        <v>5</v>
      </c>
      <c r="AI1479">
        <v>0</v>
      </c>
      <c r="AJ1479">
        <v>32</v>
      </c>
      <c r="AK1479">
        <v>1</v>
      </c>
      <c r="AL1479">
        <v>1</v>
      </c>
    </row>
    <row r="1480" spans="1:38" x14ac:dyDescent="0.3">
      <c r="A1480">
        <v>352880</v>
      </c>
      <c r="B1480" t="s">
        <v>46</v>
      </c>
      <c r="C1480" t="s">
        <v>738</v>
      </c>
      <c r="D1480">
        <v>2024</v>
      </c>
      <c r="E1480" t="s">
        <v>739</v>
      </c>
      <c r="F1480" t="s">
        <v>740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P1480">
        <v>119</v>
      </c>
      <c r="Q1480">
        <v>13</v>
      </c>
      <c r="R1480">
        <v>1300</v>
      </c>
      <c r="AF1480">
        <v>7.4</v>
      </c>
      <c r="AG1480">
        <v>32</v>
      </c>
      <c r="AH1480">
        <v>9</v>
      </c>
      <c r="AI1480">
        <v>0</v>
      </c>
      <c r="AJ1480">
        <v>67</v>
      </c>
    </row>
    <row r="1481" spans="1:38" x14ac:dyDescent="0.3">
      <c r="A1481">
        <v>353042</v>
      </c>
      <c r="B1481" t="s">
        <v>50</v>
      </c>
      <c r="C1481" t="s">
        <v>741</v>
      </c>
      <c r="D1481">
        <v>2023</v>
      </c>
      <c r="E1481" t="s">
        <v>105</v>
      </c>
      <c r="F1481" t="s">
        <v>106</v>
      </c>
      <c r="S1481">
        <v>7</v>
      </c>
      <c r="T1481">
        <v>0</v>
      </c>
      <c r="U1481">
        <v>0</v>
      </c>
      <c r="V1481">
        <v>30</v>
      </c>
      <c r="W1481">
        <v>44</v>
      </c>
      <c r="X1481">
        <v>0</v>
      </c>
      <c r="Y1481">
        <v>2</v>
      </c>
      <c r="Z1481">
        <v>0</v>
      </c>
    </row>
    <row r="1482" spans="1:38" x14ac:dyDescent="0.3">
      <c r="A1482">
        <v>353042</v>
      </c>
      <c r="B1482" t="s">
        <v>50</v>
      </c>
      <c r="C1482" t="s">
        <v>741</v>
      </c>
      <c r="D1482">
        <v>2024</v>
      </c>
      <c r="E1482" t="s">
        <v>105</v>
      </c>
      <c r="F1482" t="s">
        <v>106</v>
      </c>
      <c r="S1482">
        <v>4</v>
      </c>
      <c r="T1482">
        <v>0</v>
      </c>
      <c r="U1482">
        <v>1</v>
      </c>
      <c r="V1482">
        <v>20</v>
      </c>
      <c r="W1482">
        <v>33</v>
      </c>
      <c r="X1482">
        <v>2.5</v>
      </c>
      <c r="Y1482">
        <v>2</v>
      </c>
      <c r="Z1482">
        <v>0</v>
      </c>
    </row>
    <row r="1483" spans="1:38" x14ac:dyDescent="0.3">
      <c r="A1483">
        <v>353094</v>
      </c>
      <c r="B1483" t="s">
        <v>46</v>
      </c>
      <c r="C1483" t="s">
        <v>742</v>
      </c>
      <c r="D1483">
        <v>2021</v>
      </c>
      <c r="E1483" t="s">
        <v>743</v>
      </c>
      <c r="F1483" t="s">
        <v>744</v>
      </c>
      <c r="P1483">
        <v>5</v>
      </c>
      <c r="Q1483">
        <v>0</v>
      </c>
      <c r="R1483">
        <v>39</v>
      </c>
    </row>
    <row r="1484" spans="1:38" x14ac:dyDescent="0.3">
      <c r="A1484">
        <v>353094</v>
      </c>
      <c r="B1484" t="s">
        <v>46</v>
      </c>
      <c r="C1484" t="s">
        <v>742</v>
      </c>
      <c r="D1484">
        <v>2022</v>
      </c>
      <c r="E1484" t="s">
        <v>588</v>
      </c>
      <c r="F1484" t="s">
        <v>589</v>
      </c>
      <c r="M1484">
        <v>1</v>
      </c>
      <c r="N1484">
        <v>-1</v>
      </c>
      <c r="O1484">
        <v>0</v>
      </c>
      <c r="P1484">
        <v>56</v>
      </c>
      <c r="Q1484">
        <v>3</v>
      </c>
      <c r="R1484">
        <v>572</v>
      </c>
      <c r="AK1484">
        <v>1</v>
      </c>
      <c r="AL1484">
        <v>0</v>
      </c>
    </row>
    <row r="1485" spans="1:38" x14ac:dyDescent="0.3">
      <c r="A1485">
        <v>353353</v>
      </c>
      <c r="B1485" t="s">
        <v>50</v>
      </c>
      <c r="C1485" t="s">
        <v>745</v>
      </c>
      <c r="D1485">
        <v>2021</v>
      </c>
      <c r="E1485" t="s">
        <v>746</v>
      </c>
      <c r="F1485" t="s">
        <v>747</v>
      </c>
      <c r="S1485">
        <v>0</v>
      </c>
      <c r="T1485">
        <v>0</v>
      </c>
      <c r="U1485">
        <v>0</v>
      </c>
      <c r="V1485">
        <v>4</v>
      </c>
      <c r="W1485">
        <v>4</v>
      </c>
      <c r="X1485">
        <v>2</v>
      </c>
      <c r="Z1485">
        <v>0</v>
      </c>
      <c r="AK1485">
        <v>0</v>
      </c>
      <c r="AL1485">
        <v>0</v>
      </c>
    </row>
    <row r="1486" spans="1:38" x14ac:dyDescent="0.3">
      <c r="A1486">
        <v>353353</v>
      </c>
      <c r="B1486" t="s">
        <v>50</v>
      </c>
      <c r="C1486" t="s">
        <v>745</v>
      </c>
      <c r="D1486">
        <v>2022</v>
      </c>
      <c r="E1486" t="s">
        <v>746</v>
      </c>
      <c r="F1486" t="s">
        <v>747</v>
      </c>
      <c r="S1486">
        <v>0</v>
      </c>
      <c r="T1486">
        <v>0</v>
      </c>
      <c r="U1486">
        <v>1</v>
      </c>
      <c r="V1486">
        <v>5</v>
      </c>
      <c r="W1486">
        <v>5</v>
      </c>
      <c r="X1486">
        <v>2</v>
      </c>
      <c r="Y1486">
        <v>3</v>
      </c>
      <c r="Z1486">
        <v>0</v>
      </c>
      <c r="AK1486">
        <v>0</v>
      </c>
      <c r="AL1486">
        <v>0</v>
      </c>
    </row>
    <row r="1487" spans="1:38" x14ac:dyDescent="0.3">
      <c r="A1487">
        <v>353353</v>
      </c>
      <c r="B1487" t="s">
        <v>50</v>
      </c>
      <c r="C1487" t="s">
        <v>745</v>
      </c>
      <c r="D1487">
        <v>2023</v>
      </c>
      <c r="E1487" t="s">
        <v>746</v>
      </c>
      <c r="F1487" t="s">
        <v>747</v>
      </c>
      <c r="S1487">
        <v>0</v>
      </c>
      <c r="T1487">
        <v>0</v>
      </c>
      <c r="U1487">
        <v>0</v>
      </c>
      <c r="V1487">
        <v>4</v>
      </c>
      <c r="W1487">
        <v>4</v>
      </c>
      <c r="X1487">
        <v>1</v>
      </c>
      <c r="Y1487">
        <v>1</v>
      </c>
      <c r="Z1487">
        <v>0</v>
      </c>
      <c r="AK1487">
        <v>0</v>
      </c>
      <c r="AL1487">
        <v>0</v>
      </c>
    </row>
    <row r="1488" spans="1:38" x14ac:dyDescent="0.3">
      <c r="A1488">
        <v>353410</v>
      </c>
      <c r="B1488" t="s">
        <v>54</v>
      </c>
      <c r="C1488" t="s">
        <v>748</v>
      </c>
      <c r="D1488">
        <v>2021</v>
      </c>
      <c r="E1488" t="s">
        <v>588</v>
      </c>
      <c r="F1488" t="s">
        <v>589</v>
      </c>
      <c r="G1488">
        <v>41</v>
      </c>
      <c r="H1488">
        <v>28</v>
      </c>
      <c r="I1488">
        <v>259</v>
      </c>
      <c r="J1488">
        <v>0.68300000000000005</v>
      </c>
      <c r="K1488">
        <v>1</v>
      </c>
      <c r="L1488">
        <v>1</v>
      </c>
      <c r="M1488">
        <v>9</v>
      </c>
      <c r="N1488">
        <v>-5</v>
      </c>
      <c r="O1488">
        <v>0</v>
      </c>
      <c r="AK1488">
        <v>8</v>
      </c>
      <c r="AL1488">
        <v>5</v>
      </c>
    </row>
    <row r="1489" spans="1:38" x14ac:dyDescent="0.3">
      <c r="A1489">
        <v>353410</v>
      </c>
      <c r="B1489" t="s">
        <v>54</v>
      </c>
      <c r="C1489" t="s">
        <v>748</v>
      </c>
      <c r="D1489">
        <v>2022</v>
      </c>
      <c r="E1489" t="s">
        <v>588</v>
      </c>
      <c r="F1489" t="s">
        <v>589</v>
      </c>
      <c r="G1489">
        <v>454</v>
      </c>
      <c r="H1489">
        <v>322</v>
      </c>
      <c r="I1489">
        <v>3386</v>
      </c>
      <c r="J1489">
        <v>0.70899999999999996</v>
      </c>
      <c r="K1489">
        <v>36</v>
      </c>
      <c r="L1489">
        <v>6</v>
      </c>
      <c r="M1489">
        <v>75</v>
      </c>
      <c r="N1489">
        <v>161</v>
      </c>
      <c r="O1489">
        <v>4</v>
      </c>
      <c r="AK1489">
        <v>5</v>
      </c>
      <c r="AL1489">
        <v>3</v>
      </c>
    </row>
    <row r="1490" spans="1:38" x14ac:dyDescent="0.3">
      <c r="A1490">
        <v>353410</v>
      </c>
      <c r="B1490" t="s">
        <v>54</v>
      </c>
      <c r="C1490" t="s">
        <v>748</v>
      </c>
      <c r="D1490">
        <v>2023</v>
      </c>
      <c r="E1490" t="s">
        <v>590</v>
      </c>
      <c r="F1490" t="s">
        <v>591</v>
      </c>
      <c r="G1490">
        <v>430</v>
      </c>
      <c r="H1490">
        <v>298</v>
      </c>
      <c r="I1490">
        <v>3230</v>
      </c>
      <c r="J1490">
        <v>0.69299999999999995</v>
      </c>
      <c r="K1490">
        <v>27</v>
      </c>
      <c r="L1490">
        <v>3</v>
      </c>
      <c r="M1490">
        <v>111</v>
      </c>
      <c r="N1490">
        <v>-77</v>
      </c>
      <c r="O1490">
        <v>4</v>
      </c>
      <c r="AK1490">
        <v>5</v>
      </c>
      <c r="AL1490">
        <v>2</v>
      </c>
    </row>
    <row r="1491" spans="1:38" x14ac:dyDescent="0.3">
      <c r="A1491">
        <v>353410</v>
      </c>
      <c r="B1491" t="s">
        <v>54</v>
      </c>
      <c r="C1491" t="s">
        <v>748</v>
      </c>
      <c r="D1491">
        <v>2024</v>
      </c>
      <c r="E1491" t="s">
        <v>590</v>
      </c>
      <c r="F1491" t="s">
        <v>591</v>
      </c>
      <c r="G1491">
        <v>477</v>
      </c>
      <c r="H1491">
        <v>353</v>
      </c>
      <c r="I1491">
        <v>4134</v>
      </c>
      <c r="J1491">
        <v>0.74</v>
      </c>
      <c r="K1491">
        <v>37</v>
      </c>
      <c r="L1491">
        <v>10</v>
      </c>
      <c r="M1491">
        <v>100</v>
      </c>
      <c r="N1491">
        <v>-50</v>
      </c>
      <c r="O1491">
        <v>4</v>
      </c>
      <c r="AK1491">
        <v>4</v>
      </c>
      <c r="AL1491">
        <v>1</v>
      </c>
    </row>
    <row r="1492" spans="1:38" x14ac:dyDescent="0.3">
      <c r="A1492">
        <v>353565</v>
      </c>
      <c r="B1492" t="s">
        <v>50</v>
      </c>
      <c r="C1492" t="s">
        <v>749</v>
      </c>
      <c r="D1492">
        <v>2021</v>
      </c>
      <c r="E1492" t="s">
        <v>750</v>
      </c>
      <c r="F1492" t="s">
        <v>751</v>
      </c>
      <c r="S1492">
        <v>0</v>
      </c>
      <c r="T1492">
        <v>0</v>
      </c>
      <c r="U1492">
        <v>0</v>
      </c>
      <c r="V1492">
        <v>4</v>
      </c>
      <c r="W1492">
        <v>9</v>
      </c>
      <c r="X1492">
        <v>1</v>
      </c>
      <c r="Z1492">
        <v>0</v>
      </c>
    </row>
    <row r="1493" spans="1:38" x14ac:dyDescent="0.3">
      <c r="A1493">
        <v>353565</v>
      </c>
      <c r="B1493" t="s">
        <v>50</v>
      </c>
      <c r="C1493" t="s">
        <v>749</v>
      </c>
      <c r="D1493">
        <v>2022</v>
      </c>
      <c r="E1493" t="s">
        <v>750</v>
      </c>
      <c r="F1493" t="s">
        <v>751</v>
      </c>
      <c r="S1493">
        <v>3</v>
      </c>
      <c r="T1493">
        <v>1</v>
      </c>
      <c r="U1493">
        <v>0</v>
      </c>
      <c r="V1493">
        <v>0</v>
      </c>
      <c r="W1493">
        <v>9</v>
      </c>
      <c r="X1493">
        <v>0</v>
      </c>
      <c r="Y1493">
        <v>2</v>
      </c>
      <c r="Z1493">
        <v>0</v>
      </c>
      <c r="AK1493">
        <v>0</v>
      </c>
      <c r="AL1493">
        <v>0</v>
      </c>
    </row>
    <row r="1494" spans="1:38" x14ac:dyDescent="0.3">
      <c r="A1494">
        <v>353565</v>
      </c>
      <c r="B1494" t="s">
        <v>50</v>
      </c>
      <c r="C1494" t="s">
        <v>749</v>
      </c>
      <c r="D1494">
        <v>2023</v>
      </c>
      <c r="E1494" t="s">
        <v>750</v>
      </c>
      <c r="F1494" t="s">
        <v>751</v>
      </c>
      <c r="S1494">
        <v>2</v>
      </c>
      <c r="T1494">
        <v>0</v>
      </c>
      <c r="U1494">
        <v>0</v>
      </c>
      <c r="V1494">
        <v>6</v>
      </c>
      <c r="W1494">
        <v>7</v>
      </c>
      <c r="X1494">
        <v>0</v>
      </c>
      <c r="Y1494">
        <v>3</v>
      </c>
      <c r="Z1494">
        <v>0</v>
      </c>
    </row>
    <row r="1495" spans="1:38" x14ac:dyDescent="0.3">
      <c r="A1495">
        <v>353565</v>
      </c>
      <c r="B1495" t="s">
        <v>50</v>
      </c>
      <c r="C1495" t="s">
        <v>749</v>
      </c>
      <c r="D1495">
        <v>2024</v>
      </c>
      <c r="E1495" t="s">
        <v>331</v>
      </c>
      <c r="F1495" t="s">
        <v>332</v>
      </c>
      <c r="S1495">
        <v>5</v>
      </c>
      <c r="T1495">
        <v>0</v>
      </c>
      <c r="U1495">
        <v>0</v>
      </c>
      <c r="V1495">
        <v>33</v>
      </c>
      <c r="W1495">
        <v>44</v>
      </c>
      <c r="X1495">
        <v>2.5</v>
      </c>
      <c r="Y1495">
        <v>2</v>
      </c>
      <c r="Z1495">
        <v>0</v>
      </c>
    </row>
    <row r="1496" spans="1:38" x14ac:dyDescent="0.3">
      <c r="A1496">
        <v>353728</v>
      </c>
      <c r="B1496" t="s">
        <v>100</v>
      </c>
      <c r="C1496" t="s">
        <v>752</v>
      </c>
      <c r="D1496">
        <v>2023</v>
      </c>
      <c r="E1496" t="s">
        <v>656</v>
      </c>
      <c r="F1496" t="s">
        <v>657</v>
      </c>
      <c r="M1496">
        <v>1</v>
      </c>
      <c r="N1496">
        <v>3</v>
      </c>
      <c r="O1496">
        <v>1</v>
      </c>
    </row>
    <row r="1497" spans="1:38" x14ac:dyDescent="0.3">
      <c r="A1497">
        <v>353749</v>
      </c>
      <c r="B1497" t="s">
        <v>84</v>
      </c>
      <c r="C1497" t="s">
        <v>753</v>
      </c>
      <c r="D1497">
        <v>2021</v>
      </c>
      <c r="E1497" t="s">
        <v>471</v>
      </c>
      <c r="F1497" t="s">
        <v>472</v>
      </c>
      <c r="S1497">
        <v>4</v>
      </c>
      <c r="T1497">
        <v>0</v>
      </c>
      <c r="U1497">
        <v>2</v>
      </c>
      <c r="V1497">
        <v>40</v>
      </c>
      <c r="W1497">
        <v>74</v>
      </c>
      <c r="X1497">
        <v>5.5</v>
      </c>
      <c r="Y1497">
        <v>1</v>
      </c>
      <c r="Z1497">
        <v>0</v>
      </c>
    </row>
    <row r="1498" spans="1:38" x14ac:dyDescent="0.3">
      <c r="A1498">
        <v>353749</v>
      </c>
      <c r="B1498" t="s">
        <v>84</v>
      </c>
      <c r="C1498" t="s">
        <v>753</v>
      </c>
      <c r="D1498">
        <v>2022</v>
      </c>
      <c r="E1498" t="s">
        <v>471</v>
      </c>
      <c r="F1498" t="s">
        <v>472</v>
      </c>
      <c r="S1498">
        <v>5</v>
      </c>
      <c r="T1498">
        <v>1</v>
      </c>
      <c r="U1498">
        <v>0</v>
      </c>
      <c r="V1498">
        <v>28</v>
      </c>
      <c r="W1498">
        <v>43</v>
      </c>
      <c r="X1498">
        <v>3</v>
      </c>
      <c r="Y1498">
        <v>3</v>
      </c>
      <c r="Z1498">
        <v>0</v>
      </c>
      <c r="AK1498">
        <v>0</v>
      </c>
      <c r="AL1498">
        <v>0</v>
      </c>
    </row>
    <row r="1499" spans="1:38" x14ac:dyDescent="0.3">
      <c r="A1499">
        <v>353749</v>
      </c>
      <c r="B1499" t="s">
        <v>84</v>
      </c>
      <c r="C1499" t="s">
        <v>753</v>
      </c>
      <c r="D1499">
        <v>2023</v>
      </c>
      <c r="E1499" t="s">
        <v>471</v>
      </c>
      <c r="F1499" t="s">
        <v>472</v>
      </c>
      <c r="S1499">
        <v>4</v>
      </c>
      <c r="T1499">
        <v>0</v>
      </c>
      <c r="U1499">
        <v>2</v>
      </c>
      <c r="V1499">
        <v>32</v>
      </c>
      <c r="W1499">
        <v>72</v>
      </c>
      <c r="X1499">
        <v>5.5</v>
      </c>
      <c r="Y1499">
        <v>3</v>
      </c>
      <c r="Z1499">
        <v>0</v>
      </c>
    </row>
    <row r="1500" spans="1:38" x14ac:dyDescent="0.3">
      <c r="A1500">
        <v>353749</v>
      </c>
      <c r="B1500" t="s">
        <v>84</v>
      </c>
      <c r="C1500" t="s">
        <v>753</v>
      </c>
      <c r="D1500">
        <v>2024</v>
      </c>
      <c r="E1500" t="s">
        <v>331</v>
      </c>
      <c r="F1500" t="s">
        <v>332</v>
      </c>
      <c r="S1500">
        <v>4</v>
      </c>
      <c r="T1500">
        <v>6</v>
      </c>
      <c r="U1500">
        <v>5</v>
      </c>
      <c r="V1500">
        <v>42</v>
      </c>
      <c r="W1500">
        <v>108</v>
      </c>
      <c r="X1500">
        <v>12</v>
      </c>
      <c r="Y1500">
        <v>0</v>
      </c>
      <c r="Z1500">
        <v>0</v>
      </c>
    </row>
    <row r="1501" spans="1:38" x14ac:dyDescent="0.3">
      <c r="A1501">
        <v>354509</v>
      </c>
      <c r="B1501" t="s">
        <v>84</v>
      </c>
      <c r="C1501" t="s">
        <v>754</v>
      </c>
      <c r="D1501">
        <v>2023</v>
      </c>
      <c r="E1501" t="s">
        <v>130</v>
      </c>
      <c r="F1501" t="s">
        <v>131</v>
      </c>
      <c r="S1501">
        <v>2</v>
      </c>
      <c r="T1501">
        <v>3</v>
      </c>
      <c r="U1501">
        <v>3</v>
      </c>
      <c r="V1501">
        <v>66</v>
      </c>
      <c r="W1501">
        <v>94</v>
      </c>
      <c r="X1501">
        <v>17</v>
      </c>
      <c r="Y1501">
        <v>2</v>
      </c>
      <c r="Z1501">
        <v>1</v>
      </c>
      <c r="AK1501">
        <v>0</v>
      </c>
      <c r="AL1501">
        <v>0</v>
      </c>
    </row>
    <row r="1502" spans="1:38" x14ac:dyDescent="0.3">
      <c r="A1502">
        <v>354509</v>
      </c>
      <c r="B1502" t="s">
        <v>84</v>
      </c>
      <c r="C1502" t="s">
        <v>754</v>
      </c>
      <c r="D1502">
        <v>2024</v>
      </c>
      <c r="E1502" t="s">
        <v>130</v>
      </c>
      <c r="F1502" t="s">
        <v>131</v>
      </c>
      <c r="S1502">
        <v>4</v>
      </c>
      <c r="T1502">
        <v>10</v>
      </c>
      <c r="U1502">
        <v>6.5</v>
      </c>
      <c r="V1502">
        <v>59</v>
      </c>
      <c r="W1502">
        <v>110</v>
      </c>
      <c r="X1502">
        <v>15.5</v>
      </c>
      <c r="Y1502">
        <v>1</v>
      </c>
      <c r="Z1502">
        <v>1</v>
      </c>
      <c r="AK1502">
        <v>0</v>
      </c>
      <c r="AL1502">
        <v>0</v>
      </c>
    </row>
    <row r="1503" spans="1:38" x14ac:dyDescent="0.3">
      <c r="A1503">
        <v>354742</v>
      </c>
      <c r="B1503" t="s">
        <v>100</v>
      </c>
      <c r="C1503" t="s">
        <v>755</v>
      </c>
      <c r="D1503">
        <v>2024</v>
      </c>
      <c r="E1503" t="s">
        <v>125</v>
      </c>
      <c r="F1503" t="s">
        <v>126</v>
      </c>
      <c r="S1503">
        <v>0</v>
      </c>
      <c r="T1503">
        <v>0</v>
      </c>
      <c r="U1503">
        <v>0</v>
      </c>
      <c r="V1503">
        <v>1</v>
      </c>
      <c r="W1503">
        <v>1</v>
      </c>
      <c r="X1503">
        <v>0</v>
      </c>
      <c r="Z1503">
        <v>0</v>
      </c>
    </row>
    <row r="1504" spans="1:38" x14ac:dyDescent="0.3">
      <c r="A1504">
        <v>355296</v>
      </c>
      <c r="B1504" t="s">
        <v>69</v>
      </c>
      <c r="C1504" t="s">
        <v>756</v>
      </c>
      <c r="D1504">
        <v>2021</v>
      </c>
      <c r="E1504" t="s">
        <v>757</v>
      </c>
      <c r="F1504" t="s">
        <v>758</v>
      </c>
      <c r="S1504">
        <v>0</v>
      </c>
      <c r="T1504">
        <v>0</v>
      </c>
      <c r="U1504">
        <v>0</v>
      </c>
      <c r="V1504">
        <v>1</v>
      </c>
      <c r="W1504">
        <v>2</v>
      </c>
      <c r="X1504">
        <v>0</v>
      </c>
      <c r="Z1504">
        <v>0</v>
      </c>
    </row>
    <row r="1505" spans="1:38" x14ac:dyDescent="0.3">
      <c r="A1505">
        <v>355296</v>
      </c>
      <c r="B1505" t="s">
        <v>69</v>
      </c>
      <c r="C1505" t="s">
        <v>756</v>
      </c>
      <c r="D1505">
        <v>2022</v>
      </c>
      <c r="E1505" t="s">
        <v>757</v>
      </c>
      <c r="F1505" t="s">
        <v>758</v>
      </c>
      <c r="S1505">
        <v>0</v>
      </c>
      <c r="T1505">
        <v>1</v>
      </c>
      <c r="U1505">
        <v>0</v>
      </c>
      <c r="V1505">
        <v>4</v>
      </c>
      <c r="W1505">
        <v>4</v>
      </c>
      <c r="X1505">
        <v>1</v>
      </c>
      <c r="Z1505">
        <v>0</v>
      </c>
    </row>
    <row r="1506" spans="1:38" x14ac:dyDescent="0.3">
      <c r="A1506">
        <v>355296</v>
      </c>
      <c r="B1506" t="s">
        <v>69</v>
      </c>
      <c r="C1506" t="s">
        <v>756</v>
      </c>
      <c r="D1506">
        <v>2023</v>
      </c>
      <c r="E1506" t="s">
        <v>757</v>
      </c>
      <c r="F1506" t="s">
        <v>758</v>
      </c>
      <c r="S1506">
        <v>0</v>
      </c>
      <c r="T1506">
        <v>0</v>
      </c>
      <c r="U1506">
        <v>0</v>
      </c>
      <c r="V1506">
        <v>1</v>
      </c>
      <c r="W1506">
        <v>1</v>
      </c>
      <c r="X1506">
        <v>0</v>
      </c>
      <c r="Z1506">
        <v>0</v>
      </c>
      <c r="AK1506">
        <v>0</v>
      </c>
      <c r="AL1506">
        <v>0</v>
      </c>
    </row>
    <row r="1507" spans="1:38" x14ac:dyDescent="0.3">
      <c r="A1507">
        <v>355296</v>
      </c>
      <c r="B1507" t="s">
        <v>69</v>
      </c>
      <c r="C1507" t="s">
        <v>756</v>
      </c>
      <c r="D1507">
        <v>2024</v>
      </c>
      <c r="E1507" t="s">
        <v>757</v>
      </c>
      <c r="F1507" t="s">
        <v>758</v>
      </c>
      <c r="S1507">
        <v>2</v>
      </c>
      <c r="T1507">
        <v>0</v>
      </c>
      <c r="U1507">
        <v>1</v>
      </c>
      <c r="V1507">
        <v>2</v>
      </c>
      <c r="W1507">
        <v>4</v>
      </c>
      <c r="X1507">
        <v>2.5</v>
      </c>
      <c r="Z1507">
        <v>0</v>
      </c>
      <c r="AK1507">
        <v>0</v>
      </c>
      <c r="AL1507">
        <v>0</v>
      </c>
    </row>
    <row r="1508" spans="1:38" x14ac:dyDescent="0.3">
      <c r="A1508">
        <v>356720</v>
      </c>
      <c r="B1508" t="s">
        <v>46</v>
      </c>
      <c r="C1508" t="s">
        <v>759</v>
      </c>
      <c r="D1508">
        <v>2021</v>
      </c>
      <c r="E1508" t="s">
        <v>760</v>
      </c>
      <c r="F1508" t="s">
        <v>761</v>
      </c>
      <c r="P1508">
        <v>3</v>
      </c>
      <c r="Q1508">
        <v>0</v>
      </c>
      <c r="R1508">
        <v>47</v>
      </c>
      <c r="AK1508">
        <v>1</v>
      </c>
      <c r="AL1508">
        <v>1</v>
      </c>
    </row>
    <row r="1509" spans="1:38" x14ac:dyDescent="0.3">
      <c r="A1509">
        <v>356720</v>
      </c>
      <c r="B1509" t="s">
        <v>46</v>
      </c>
      <c r="C1509" t="s">
        <v>759</v>
      </c>
      <c r="D1509">
        <v>2022</v>
      </c>
      <c r="E1509" t="s">
        <v>760</v>
      </c>
      <c r="F1509" t="s">
        <v>761</v>
      </c>
      <c r="G1509">
        <v>1</v>
      </c>
      <c r="H1509">
        <v>1</v>
      </c>
      <c r="I1509">
        <v>36</v>
      </c>
      <c r="J1509">
        <v>1</v>
      </c>
      <c r="K1509">
        <v>1</v>
      </c>
      <c r="L1509">
        <v>0</v>
      </c>
      <c r="M1509">
        <v>1</v>
      </c>
      <c r="N1509">
        <v>0</v>
      </c>
      <c r="O1509">
        <v>0</v>
      </c>
      <c r="P1509">
        <v>50</v>
      </c>
      <c r="Q1509">
        <v>11</v>
      </c>
      <c r="R1509">
        <v>914</v>
      </c>
      <c r="AK1509">
        <v>0</v>
      </c>
      <c r="AL1509">
        <v>0</v>
      </c>
    </row>
    <row r="1510" spans="1:38" x14ac:dyDescent="0.3">
      <c r="A1510">
        <v>356720</v>
      </c>
      <c r="B1510" t="s">
        <v>46</v>
      </c>
      <c r="C1510" t="s">
        <v>759</v>
      </c>
      <c r="D1510">
        <v>2023</v>
      </c>
      <c r="E1510" t="s">
        <v>760</v>
      </c>
      <c r="F1510" t="s">
        <v>761</v>
      </c>
      <c r="M1510">
        <v>2</v>
      </c>
      <c r="N1510">
        <v>3</v>
      </c>
      <c r="O1510">
        <v>0</v>
      </c>
      <c r="P1510">
        <v>59</v>
      </c>
      <c r="Q1510">
        <v>15</v>
      </c>
      <c r="R1510">
        <v>1035</v>
      </c>
      <c r="AF1510">
        <v>4.3</v>
      </c>
      <c r="AG1510">
        <v>13</v>
      </c>
      <c r="AH1510">
        <v>11</v>
      </c>
      <c r="AI1510">
        <v>0</v>
      </c>
      <c r="AJ1510">
        <v>47</v>
      </c>
    </row>
    <row r="1511" spans="1:38" x14ac:dyDescent="0.3">
      <c r="A1511">
        <v>357610</v>
      </c>
      <c r="B1511" t="s">
        <v>84</v>
      </c>
      <c r="C1511" t="s">
        <v>762</v>
      </c>
      <c r="D1511">
        <v>2021</v>
      </c>
      <c r="E1511" t="s">
        <v>564</v>
      </c>
      <c r="F1511" t="s">
        <v>565</v>
      </c>
      <c r="S1511">
        <v>0</v>
      </c>
      <c r="T1511">
        <v>0</v>
      </c>
      <c r="U1511">
        <v>0</v>
      </c>
      <c r="V1511">
        <v>4</v>
      </c>
      <c r="W1511">
        <v>7</v>
      </c>
      <c r="X1511">
        <v>0</v>
      </c>
      <c r="Z1511">
        <v>0</v>
      </c>
      <c r="AK1511">
        <v>0</v>
      </c>
      <c r="AL1511">
        <v>0</v>
      </c>
    </row>
    <row r="1512" spans="1:38" x14ac:dyDescent="0.3">
      <c r="A1512">
        <v>357610</v>
      </c>
      <c r="B1512" t="s">
        <v>84</v>
      </c>
      <c r="C1512" t="s">
        <v>762</v>
      </c>
      <c r="D1512">
        <v>2022</v>
      </c>
      <c r="E1512" t="s">
        <v>564</v>
      </c>
      <c r="F1512" t="s">
        <v>565</v>
      </c>
      <c r="S1512">
        <v>0</v>
      </c>
      <c r="T1512">
        <v>0</v>
      </c>
      <c r="U1512">
        <v>0</v>
      </c>
      <c r="V1512">
        <v>5</v>
      </c>
      <c r="W1512">
        <v>12</v>
      </c>
      <c r="X1512">
        <v>1</v>
      </c>
      <c r="Z1512">
        <v>0</v>
      </c>
    </row>
    <row r="1513" spans="1:38" x14ac:dyDescent="0.3">
      <c r="A1513">
        <v>357610</v>
      </c>
      <c r="B1513" t="s">
        <v>84</v>
      </c>
      <c r="C1513" t="s">
        <v>762</v>
      </c>
      <c r="D1513">
        <v>2023</v>
      </c>
      <c r="E1513" t="s">
        <v>564</v>
      </c>
      <c r="F1513" t="s">
        <v>565</v>
      </c>
      <c r="S1513">
        <v>0</v>
      </c>
      <c r="T1513">
        <v>1</v>
      </c>
      <c r="U1513">
        <v>1</v>
      </c>
      <c r="V1513">
        <v>9</v>
      </c>
      <c r="W1513">
        <v>15</v>
      </c>
      <c r="X1513">
        <v>2.5</v>
      </c>
      <c r="Z1513">
        <v>0</v>
      </c>
    </row>
    <row r="1514" spans="1:38" x14ac:dyDescent="0.3">
      <c r="A1514">
        <v>357610</v>
      </c>
      <c r="B1514" t="s">
        <v>84</v>
      </c>
      <c r="C1514" t="s">
        <v>762</v>
      </c>
      <c r="D1514">
        <v>2024</v>
      </c>
      <c r="E1514" t="s">
        <v>564</v>
      </c>
      <c r="F1514" t="s">
        <v>565</v>
      </c>
      <c r="Y1514">
        <v>1</v>
      </c>
    </row>
    <row r="1515" spans="1:38" x14ac:dyDescent="0.3">
      <c r="A1515">
        <v>359504</v>
      </c>
      <c r="B1515" t="s">
        <v>54</v>
      </c>
      <c r="C1515" t="s">
        <v>763</v>
      </c>
      <c r="D1515">
        <v>2021</v>
      </c>
      <c r="E1515" t="s">
        <v>323</v>
      </c>
      <c r="F1515" t="s">
        <v>324</v>
      </c>
      <c r="G1515">
        <v>51</v>
      </c>
      <c r="H1515">
        <v>31</v>
      </c>
      <c r="I1515">
        <v>305</v>
      </c>
      <c r="J1515">
        <v>0.60799999999999998</v>
      </c>
      <c r="K1515">
        <v>2</v>
      </c>
      <c r="L1515">
        <v>2</v>
      </c>
      <c r="M1515">
        <v>18</v>
      </c>
      <c r="N1515">
        <v>31</v>
      </c>
      <c r="O1515">
        <v>0</v>
      </c>
      <c r="AK1515">
        <v>1</v>
      </c>
      <c r="AL1515">
        <v>0</v>
      </c>
    </row>
    <row r="1516" spans="1:38" x14ac:dyDescent="0.3">
      <c r="A1516">
        <v>359504</v>
      </c>
      <c r="B1516" t="s">
        <v>54</v>
      </c>
      <c r="C1516" t="s">
        <v>763</v>
      </c>
      <c r="D1516">
        <v>2022</v>
      </c>
      <c r="E1516" t="s">
        <v>323</v>
      </c>
      <c r="F1516" t="s">
        <v>324</v>
      </c>
      <c r="G1516">
        <v>37</v>
      </c>
      <c r="H1516">
        <v>26</v>
      </c>
      <c r="I1516">
        <v>294</v>
      </c>
      <c r="J1516">
        <v>0.70299999999999996</v>
      </c>
      <c r="K1516">
        <v>2</v>
      </c>
      <c r="L1516">
        <v>2</v>
      </c>
      <c r="M1516">
        <v>7</v>
      </c>
      <c r="N1516">
        <v>0</v>
      </c>
      <c r="O1516">
        <v>2</v>
      </c>
      <c r="AK1516">
        <v>1</v>
      </c>
      <c r="AL1516">
        <v>0</v>
      </c>
    </row>
    <row r="1517" spans="1:38" x14ac:dyDescent="0.3">
      <c r="A1517">
        <v>359504</v>
      </c>
      <c r="B1517" t="s">
        <v>54</v>
      </c>
      <c r="C1517" t="s">
        <v>763</v>
      </c>
      <c r="D1517">
        <v>2023</v>
      </c>
      <c r="E1517" t="s">
        <v>323</v>
      </c>
      <c r="F1517" t="s">
        <v>324</v>
      </c>
      <c r="G1517">
        <v>146</v>
      </c>
      <c r="H1517">
        <v>98</v>
      </c>
      <c r="I1517">
        <v>1136</v>
      </c>
      <c r="J1517">
        <v>0.67100000000000004</v>
      </c>
      <c r="K1517">
        <v>11</v>
      </c>
      <c r="L1517">
        <v>3</v>
      </c>
      <c r="M1517">
        <v>35</v>
      </c>
      <c r="N1517">
        <v>127</v>
      </c>
      <c r="O1517">
        <v>0</v>
      </c>
      <c r="P1517">
        <v>1</v>
      </c>
      <c r="Q1517">
        <v>0</v>
      </c>
      <c r="R1517">
        <v>5</v>
      </c>
      <c r="S1517">
        <v>0</v>
      </c>
      <c r="T1517">
        <v>0</v>
      </c>
      <c r="U1517">
        <v>0</v>
      </c>
      <c r="V1517">
        <v>1</v>
      </c>
      <c r="W1517">
        <v>1</v>
      </c>
      <c r="X1517">
        <v>0</v>
      </c>
      <c r="Z1517">
        <v>0</v>
      </c>
      <c r="AK1517">
        <v>1</v>
      </c>
      <c r="AL1517">
        <v>0</v>
      </c>
    </row>
    <row r="1518" spans="1:38" x14ac:dyDescent="0.3">
      <c r="A1518">
        <v>359504</v>
      </c>
      <c r="B1518" t="s">
        <v>54</v>
      </c>
      <c r="C1518" t="s">
        <v>763</v>
      </c>
      <c r="D1518">
        <v>2024</v>
      </c>
      <c r="E1518" t="s">
        <v>323</v>
      </c>
      <c r="F1518" t="s">
        <v>324</v>
      </c>
      <c r="G1518">
        <v>363</v>
      </c>
      <c r="H1518">
        <v>235</v>
      </c>
      <c r="I1518">
        <v>2727</v>
      </c>
      <c r="J1518">
        <v>0.64700000000000002</v>
      </c>
      <c r="K1518">
        <v>16</v>
      </c>
      <c r="L1518">
        <v>11</v>
      </c>
      <c r="M1518">
        <v>83</v>
      </c>
      <c r="N1518">
        <v>137</v>
      </c>
      <c r="O1518">
        <v>1</v>
      </c>
      <c r="AK1518">
        <v>7</v>
      </c>
      <c r="AL1518">
        <v>5</v>
      </c>
    </row>
    <row r="1519" spans="1:38" x14ac:dyDescent="0.3">
      <c r="A1519">
        <v>359521</v>
      </c>
      <c r="B1519" t="s">
        <v>38</v>
      </c>
      <c r="C1519" t="s">
        <v>764</v>
      </c>
      <c r="D1519">
        <v>2021</v>
      </c>
      <c r="E1519" t="s">
        <v>323</v>
      </c>
      <c r="F1519" t="s">
        <v>324</v>
      </c>
      <c r="S1519">
        <v>1</v>
      </c>
      <c r="T1519">
        <v>0</v>
      </c>
      <c r="U1519">
        <v>0</v>
      </c>
      <c r="V1519">
        <v>7</v>
      </c>
      <c r="W1519">
        <v>8</v>
      </c>
      <c r="X1519">
        <v>0</v>
      </c>
      <c r="Z1519">
        <v>0</v>
      </c>
    </row>
    <row r="1520" spans="1:38" x14ac:dyDescent="0.3">
      <c r="A1520">
        <v>359521</v>
      </c>
      <c r="B1520" t="s">
        <v>38</v>
      </c>
      <c r="C1520" t="s">
        <v>764</v>
      </c>
      <c r="D1520">
        <v>2022</v>
      </c>
      <c r="E1520" t="s">
        <v>323</v>
      </c>
      <c r="F1520" t="s">
        <v>324</v>
      </c>
      <c r="S1520">
        <v>1</v>
      </c>
      <c r="T1520">
        <v>1</v>
      </c>
      <c r="U1520">
        <v>1</v>
      </c>
      <c r="V1520">
        <v>8</v>
      </c>
      <c r="W1520">
        <v>20</v>
      </c>
      <c r="X1520">
        <v>1</v>
      </c>
      <c r="Z1520">
        <v>0</v>
      </c>
    </row>
    <row r="1521" spans="1:38" x14ac:dyDescent="0.3">
      <c r="A1521">
        <v>359521</v>
      </c>
      <c r="B1521" t="s">
        <v>38</v>
      </c>
      <c r="C1521" t="s">
        <v>764</v>
      </c>
      <c r="D1521">
        <v>2023</v>
      </c>
      <c r="E1521" t="s">
        <v>323</v>
      </c>
      <c r="F1521" t="s">
        <v>324</v>
      </c>
      <c r="S1521">
        <v>1</v>
      </c>
      <c r="T1521">
        <v>0</v>
      </c>
      <c r="U1521">
        <v>1</v>
      </c>
      <c r="V1521">
        <v>18</v>
      </c>
      <c r="W1521">
        <v>28</v>
      </c>
      <c r="X1521">
        <v>4</v>
      </c>
      <c r="Z1521">
        <v>0</v>
      </c>
    </row>
    <row r="1522" spans="1:38" x14ac:dyDescent="0.3">
      <c r="A1522">
        <v>359521</v>
      </c>
      <c r="B1522" t="s">
        <v>38</v>
      </c>
      <c r="C1522" t="s">
        <v>764</v>
      </c>
      <c r="D1522">
        <v>2024</v>
      </c>
      <c r="E1522" t="s">
        <v>323</v>
      </c>
      <c r="F1522" t="s">
        <v>324</v>
      </c>
      <c r="S1522">
        <v>1</v>
      </c>
      <c r="T1522">
        <v>3</v>
      </c>
      <c r="U1522">
        <v>1</v>
      </c>
      <c r="V1522">
        <v>15</v>
      </c>
      <c r="W1522">
        <v>25</v>
      </c>
      <c r="X1522">
        <v>2</v>
      </c>
      <c r="Z1522">
        <v>0</v>
      </c>
    </row>
    <row r="1523" spans="1:38" x14ac:dyDescent="0.3">
      <c r="A1523">
        <v>359643</v>
      </c>
      <c r="B1523" t="s">
        <v>54</v>
      </c>
      <c r="C1523" t="s">
        <v>765</v>
      </c>
      <c r="D1523">
        <v>2021</v>
      </c>
      <c r="E1523" t="s">
        <v>249</v>
      </c>
      <c r="F1523" t="s">
        <v>250</v>
      </c>
      <c r="G1523">
        <v>38</v>
      </c>
      <c r="H1523">
        <v>25</v>
      </c>
      <c r="I1523">
        <v>416</v>
      </c>
      <c r="J1523">
        <v>0.65800000000000003</v>
      </c>
      <c r="K1523">
        <v>2</v>
      </c>
      <c r="L1523">
        <v>2</v>
      </c>
      <c r="M1523">
        <v>9</v>
      </c>
      <c r="N1523">
        <v>-16</v>
      </c>
      <c r="O1523">
        <v>0</v>
      </c>
      <c r="AK1523">
        <v>1</v>
      </c>
      <c r="AL1523">
        <v>0</v>
      </c>
    </row>
    <row r="1524" spans="1:38" x14ac:dyDescent="0.3">
      <c r="A1524">
        <v>359643</v>
      </c>
      <c r="B1524" t="s">
        <v>54</v>
      </c>
      <c r="C1524" t="s">
        <v>765</v>
      </c>
      <c r="D1524">
        <v>2022</v>
      </c>
      <c r="E1524" t="s">
        <v>249</v>
      </c>
      <c r="F1524" t="s">
        <v>250</v>
      </c>
      <c r="G1524">
        <v>20</v>
      </c>
      <c r="H1524">
        <v>16</v>
      </c>
      <c r="I1524">
        <v>190</v>
      </c>
      <c r="J1524">
        <v>0.8</v>
      </c>
      <c r="K1524">
        <v>1</v>
      </c>
      <c r="L1524">
        <v>0</v>
      </c>
      <c r="M1524">
        <v>3</v>
      </c>
      <c r="N1524">
        <v>4</v>
      </c>
      <c r="O1524">
        <v>0</v>
      </c>
      <c r="AK1524">
        <v>1</v>
      </c>
      <c r="AL1524">
        <v>0</v>
      </c>
    </row>
    <row r="1525" spans="1:38" x14ac:dyDescent="0.3">
      <c r="A1525">
        <v>359643</v>
      </c>
      <c r="B1525" t="s">
        <v>54</v>
      </c>
      <c r="C1525" t="s">
        <v>765</v>
      </c>
      <c r="D1525">
        <v>2023</v>
      </c>
      <c r="E1525" t="s">
        <v>249</v>
      </c>
      <c r="F1525" t="s">
        <v>250</v>
      </c>
      <c r="G1525">
        <v>348</v>
      </c>
      <c r="H1525">
        <v>229</v>
      </c>
      <c r="I1525">
        <v>3170</v>
      </c>
      <c r="J1525">
        <v>0.65800000000000003</v>
      </c>
      <c r="K1525">
        <v>24</v>
      </c>
      <c r="L1525">
        <v>6</v>
      </c>
      <c r="M1525">
        <v>32</v>
      </c>
      <c r="N1525">
        <v>-65</v>
      </c>
      <c r="O1525">
        <v>0</v>
      </c>
      <c r="S1525">
        <v>0</v>
      </c>
      <c r="T1525">
        <v>0</v>
      </c>
      <c r="U1525">
        <v>0</v>
      </c>
      <c r="V1525">
        <v>1</v>
      </c>
      <c r="W1525">
        <v>1</v>
      </c>
      <c r="X1525">
        <v>0</v>
      </c>
      <c r="Z1525">
        <v>0</v>
      </c>
      <c r="AK1525">
        <v>3</v>
      </c>
      <c r="AL1525">
        <v>3</v>
      </c>
    </row>
    <row r="1526" spans="1:38" x14ac:dyDescent="0.3">
      <c r="A1526">
        <v>359643</v>
      </c>
      <c r="B1526" t="s">
        <v>54</v>
      </c>
      <c r="C1526" t="s">
        <v>765</v>
      </c>
      <c r="D1526">
        <v>2024</v>
      </c>
      <c r="E1526" t="s">
        <v>184</v>
      </c>
      <c r="F1526" t="s">
        <v>185</v>
      </c>
      <c r="G1526">
        <v>592</v>
      </c>
      <c r="H1526">
        <v>391</v>
      </c>
      <c r="I1526">
        <v>4779</v>
      </c>
      <c r="J1526">
        <v>0.66</v>
      </c>
      <c r="K1526">
        <v>34</v>
      </c>
      <c r="L1526">
        <v>12</v>
      </c>
      <c r="M1526">
        <v>67</v>
      </c>
      <c r="N1526">
        <v>-65</v>
      </c>
      <c r="O1526">
        <v>3</v>
      </c>
      <c r="AK1526">
        <v>5</v>
      </c>
      <c r="AL1526">
        <v>0</v>
      </c>
    </row>
    <row r="1527" spans="1:38" x14ac:dyDescent="0.3">
      <c r="A1527">
        <v>359846</v>
      </c>
      <c r="B1527" t="s">
        <v>46</v>
      </c>
      <c r="C1527" t="s">
        <v>766</v>
      </c>
      <c r="D1527">
        <v>2021</v>
      </c>
      <c r="E1527" t="s">
        <v>58</v>
      </c>
      <c r="F1527" t="s">
        <v>59</v>
      </c>
      <c r="M1527">
        <v>4</v>
      </c>
      <c r="N1527">
        <v>40</v>
      </c>
      <c r="O1527">
        <v>1</v>
      </c>
      <c r="P1527">
        <v>26</v>
      </c>
      <c r="Q1527">
        <v>0</v>
      </c>
      <c r="R1527">
        <v>173</v>
      </c>
      <c r="S1527">
        <v>0</v>
      </c>
      <c r="T1527">
        <v>0</v>
      </c>
      <c r="U1527">
        <v>0</v>
      </c>
      <c r="V1527">
        <v>1</v>
      </c>
      <c r="W1527">
        <v>1</v>
      </c>
      <c r="X1527">
        <v>0</v>
      </c>
      <c r="Z1527">
        <v>0</v>
      </c>
      <c r="AK1527">
        <v>1</v>
      </c>
      <c r="AL1527">
        <v>0</v>
      </c>
    </row>
    <row r="1528" spans="1:38" x14ac:dyDescent="0.3">
      <c r="A1528">
        <v>359846</v>
      </c>
      <c r="B1528" t="s">
        <v>46</v>
      </c>
      <c r="C1528" t="s">
        <v>766</v>
      </c>
      <c r="D1528">
        <v>2022</v>
      </c>
      <c r="E1528" t="s">
        <v>58</v>
      </c>
      <c r="F1528" t="s">
        <v>59</v>
      </c>
      <c r="M1528">
        <v>7</v>
      </c>
      <c r="N1528">
        <v>6</v>
      </c>
      <c r="O1528">
        <v>0</v>
      </c>
      <c r="P1528">
        <v>56</v>
      </c>
      <c r="Q1528">
        <v>3</v>
      </c>
      <c r="R1528">
        <v>846</v>
      </c>
      <c r="AF1528">
        <v>-4</v>
      </c>
      <c r="AG1528">
        <v>-4</v>
      </c>
      <c r="AH1528">
        <v>1</v>
      </c>
      <c r="AI1528">
        <v>0</v>
      </c>
      <c r="AJ1528">
        <v>-4</v>
      </c>
      <c r="AK1528">
        <v>1</v>
      </c>
      <c r="AL1528">
        <v>0</v>
      </c>
    </row>
    <row r="1529" spans="1:38" x14ac:dyDescent="0.3">
      <c r="A1529">
        <v>359846</v>
      </c>
      <c r="B1529" t="s">
        <v>46</v>
      </c>
      <c r="C1529" t="s">
        <v>766</v>
      </c>
      <c r="D1529">
        <v>2023</v>
      </c>
      <c r="E1529" t="s">
        <v>173</v>
      </c>
      <c r="F1529" t="s">
        <v>174</v>
      </c>
      <c r="P1529">
        <v>54</v>
      </c>
      <c r="Q1529">
        <v>4</v>
      </c>
      <c r="R1529">
        <v>613</v>
      </c>
    </row>
    <row r="1530" spans="1:38" x14ac:dyDescent="0.3">
      <c r="A1530">
        <v>359846</v>
      </c>
      <c r="B1530" t="s">
        <v>46</v>
      </c>
      <c r="C1530" t="s">
        <v>766</v>
      </c>
      <c r="D1530">
        <v>2024</v>
      </c>
      <c r="E1530" t="s">
        <v>173</v>
      </c>
      <c r="F1530" t="s">
        <v>174</v>
      </c>
      <c r="P1530">
        <v>59</v>
      </c>
      <c r="Q1530">
        <v>6</v>
      </c>
      <c r="R1530">
        <v>607</v>
      </c>
      <c r="AK1530">
        <v>2</v>
      </c>
      <c r="AL1530">
        <v>1</v>
      </c>
    </row>
    <row r="1531" spans="1:38" x14ac:dyDescent="0.3">
      <c r="A1531">
        <v>360059</v>
      </c>
      <c r="B1531" t="s">
        <v>178</v>
      </c>
      <c r="C1531" t="s">
        <v>767</v>
      </c>
      <c r="D1531">
        <v>2022</v>
      </c>
      <c r="E1531" t="s">
        <v>61</v>
      </c>
      <c r="F1531" t="s">
        <v>62</v>
      </c>
      <c r="S1531">
        <v>0</v>
      </c>
      <c r="T1531">
        <v>0</v>
      </c>
      <c r="U1531">
        <v>0</v>
      </c>
      <c r="V1531">
        <v>1</v>
      </c>
      <c r="W1531">
        <v>1</v>
      </c>
      <c r="X1531">
        <v>0</v>
      </c>
      <c r="Z1531">
        <v>0</v>
      </c>
    </row>
    <row r="1532" spans="1:38" x14ac:dyDescent="0.3">
      <c r="A1532">
        <v>360150</v>
      </c>
      <c r="B1532" t="s">
        <v>84</v>
      </c>
      <c r="C1532" t="s">
        <v>768</v>
      </c>
      <c r="D1532">
        <v>2021</v>
      </c>
      <c r="E1532" t="s">
        <v>201</v>
      </c>
      <c r="F1532" t="s">
        <v>202</v>
      </c>
      <c r="S1532">
        <v>0</v>
      </c>
      <c r="T1532">
        <v>0</v>
      </c>
      <c r="U1532">
        <v>0</v>
      </c>
      <c r="V1532">
        <v>10</v>
      </c>
      <c r="W1532">
        <v>17</v>
      </c>
      <c r="X1532">
        <v>0.5</v>
      </c>
      <c r="Z1532">
        <v>0</v>
      </c>
    </row>
    <row r="1533" spans="1:38" x14ac:dyDescent="0.3">
      <c r="A1533">
        <v>360150</v>
      </c>
      <c r="B1533" t="s">
        <v>84</v>
      </c>
      <c r="C1533" t="s">
        <v>768</v>
      </c>
      <c r="D1533">
        <v>2022</v>
      </c>
      <c r="E1533" t="s">
        <v>201</v>
      </c>
      <c r="F1533" t="s">
        <v>202</v>
      </c>
      <c r="S1533">
        <v>1</v>
      </c>
      <c r="T1533">
        <v>1</v>
      </c>
      <c r="U1533">
        <v>3.5</v>
      </c>
      <c r="V1533">
        <v>34</v>
      </c>
      <c r="W1533">
        <v>60</v>
      </c>
      <c r="X1533">
        <v>5.5</v>
      </c>
      <c r="Y1533">
        <v>1</v>
      </c>
      <c r="Z1533">
        <v>1</v>
      </c>
      <c r="AK1533">
        <v>0</v>
      </c>
      <c r="AL1533">
        <v>0</v>
      </c>
    </row>
    <row r="1534" spans="1:38" x14ac:dyDescent="0.3">
      <c r="A1534">
        <v>360150</v>
      </c>
      <c r="B1534" t="s">
        <v>84</v>
      </c>
      <c r="C1534" t="s">
        <v>768</v>
      </c>
      <c r="D1534">
        <v>2023</v>
      </c>
      <c r="E1534" t="s">
        <v>160</v>
      </c>
      <c r="F1534" t="s">
        <v>161</v>
      </c>
      <c r="S1534">
        <v>3</v>
      </c>
      <c r="T1534">
        <v>6</v>
      </c>
      <c r="U1534">
        <v>7.5</v>
      </c>
      <c r="V1534">
        <v>45</v>
      </c>
      <c r="W1534">
        <v>78</v>
      </c>
      <c r="X1534">
        <v>16.5</v>
      </c>
      <c r="Y1534">
        <v>1</v>
      </c>
      <c r="Z1534">
        <v>0</v>
      </c>
    </row>
    <row r="1535" spans="1:38" x14ac:dyDescent="0.3">
      <c r="A1535">
        <v>360150</v>
      </c>
      <c r="B1535" t="s">
        <v>84</v>
      </c>
      <c r="C1535" t="s">
        <v>768</v>
      </c>
      <c r="D1535">
        <v>2024</v>
      </c>
      <c r="E1535" t="s">
        <v>160</v>
      </c>
      <c r="F1535" t="s">
        <v>161</v>
      </c>
      <c r="S1535">
        <v>5</v>
      </c>
      <c r="T1535">
        <v>5</v>
      </c>
      <c r="U1535">
        <v>2</v>
      </c>
      <c r="V1535">
        <v>51</v>
      </c>
      <c r="W1535">
        <v>96</v>
      </c>
      <c r="X1535">
        <v>11</v>
      </c>
      <c r="Y1535">
        <v>1</v>
      </c>
      <c r="Z1535">
        <v>0</v>
      </c>
    </row>
    <row r="1536" spans="1:38" x14ac:dyDescent="0.3">
      <c r="A1536">
        <v>360225</v>
      </c>
      <c r="B1536" t="s">
        <v>46</v>
      </c>
      <c r="C1536" t="s">
        <v>769</v>
      </c>
      <c r="D1536">
        <v>2021</v>
      </c>
      <c r="E1536" t="s">
        <v>181</v>
      </c>
      <c r="F1536" t="s">
        <v>182</v>
      </c>
      <c r="M1536">
        <v>5</v>
      </c>
      <c r="N1536">
        <v>12</v>
      </c>
      <c r="O1536">
        <v>0</v>
      </c>
      <c r="P1536">
        <v>30</v>
      </c>
      <c r="Q1536">
        <v>1</v>
      </c>
      <c r="R1536">
        <v>408</v>
      </c>
      <c r="AA1536">
        <v>12.7</v>
      </c>
      <c r="AB1536">
        <v>25</v>
      </c>
      <c r="AC1536">
        <v>9</v>
      </c>
      <c r="AD1536">
        <v>0</v>
      </c>
      <c r="AE1536">
        <v>114</v>
      </c>
      <c r="AK1536">
        <v>2</v>
      </c>
      <c r="AL1536">
        <v>1</v>
      </c>
    </row>
    <row r="1537" spans="1:38" x14ac:dyDescent="0.3">
      <c r="A1537">
        <v>360225</v>
      </c>
      <c r="B1537" t="s">
        <v>46</v>
      </c>
      <c r="C1537" t="s">
        <v>769</v>
      </c>
      <c r="D1537">
        <v>2022</v>
      </c>
      <c r="E1537" t="s">
        <v>181</v>
      </c>
      <c r="F1537" t="s">
        <v>182</v>
      </c>
      <c r="M1537">
        <v>9</v>
      </c>
      <c r="N1537">
        <v>95</v>
      </c>
      <c r="O1537">
        <v>1</v>
      </c>
      <c r="P1537">
        <v>37</v>
      </c>
      <c r="Q1537">
        <v>3</v>
      </c>
      <c r="R1537">
        <v>551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Z1537">
        <v>1</v>
      </c>
      <c r="AA1537">
        <v>29.9</v>
      </c>
      <c r="AB1537">
        <v>89</v>
      </c>
      <c r="AC1537">
        <v>7</v>
      </c>
      <c r="AD1537">
        <v>1</v>
      </c>
      <c r="AE1537">
        <v>209</v>
      </c>
    </row>
    <row r="1538" spans="1:38" x14ac:dyDescent="0.3">
      <c r="A1538">
        <v>360225</v>
      </c>
      <c r="B1538" t="s">
        <v>46</v>
      </c>
      <c r="C1538" t="s">
        <v>769</v>
      </c>
      <c r="D1538">
        <v>2023</v>
      </c>
      <c r="E1538" t="s">
        <v>590</v>
      </c>
      <c r="F1538" t="s">
        <v>591</v>
      </c>
      <c r="G1538">
        <v>1</v>
      </c>
      <c r="H1538">
        <v>1</v>
      </c>
      <c r="I1538">
        <v>30</v>
      </c>
      <c r="J1538">
        <v>1</v>
      </c>
      <c r="K1538">
        <v>1</v>
      </c>
      <c r="L1538">
        <v>0</v>
      </c>
      <c r="M1538">
        <v>2</v>
      </c>
      <c r="N1538">
        <v>18</v>
      </c>
      <c r="O1538">
        <v>0</v>
      </c>
      <c r="P1538">
        <v>58</v>
      </c>
      <c r="Q1538">
        <v>6</v>
      </c>
      <c r="R1538">
        <v>567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Z1538">
        <v>0</v>
      </c>
      <c r="AA1538">
        <v>24.7</v>
      </c>
      <c r="AB1538">
        <v>57</v>
      </c>
      <c r="AC1538">
        <v>7</v>
      </c>
      <c r="AD1538">
        <v>0</v>
      </c>
      <c r="AE1538">
        <v>173</v>
      </c>
      <c r="AF1538">
        <v>2.6</v>
      </c>
      <c r="AG1538">
        <v>12</v>
      </c>
      <c r="AH1538">
        <v>7</v>
      </c>
      <c r="AI1538">
        <v>0</v>
      </c>
      <c r="AJ1538">
        <v>18</v>
      </c>
    </row>
    <row r="1539" spans="1:38" x14ac:dyDescent="0.3">
      <c r="A1539">
        <v>360225</v>
      </c>
      <c r="B1539" t="s">
        <v>46</v>
      </c>
      <c r="C1539" t="s">
        <v>769</v>
      </c>
      <c r="D1539">
        <v>2024</v>
      </c>
      <c r="E1539" t="s">
        <v>590</v>
      </c>
      <c r="F1539" t="s">
        <v>591</v>
      </c>
      <c r="M1539">
        <v>1</v>
      </c>
      <c r="N1539">
        <v>3</v>
      </c>
      <c r="O1539">
        <v>0</v>
      </c>
      <c r="P1539">
        <v>37</v>
      </c>
      <c r="Q1539">
        <v>1</v>
      </c>
      <c r="R1539">
        <v>441</v>
      </c>
      <c r="S1539">
        <v>0</v>
      </c>
      <c r="T1539">
        <v>0</v>
      </c>
      <c r="U1539">
        <v>0</v>
      </c>
      <c r="V1539">
        <v>1</v>
      </c>
      <c r="W1539">
        <v>1</v>
      </c>
      <c r="X1539">
        <v>0</v>
      </c>
      <c r="Z1539">
        <v>0</v>
      </c>
      <c r="AA1539">
        <v>19.100000000000001</v>
      </c>
      <c r="AB1539">
        <v>61</v>
      </c>
      <c r="AC1539">
        <v>11</v>
      </c>
      <c r="AD1539">
        <v>0</v>
      </c>
      <c r="AE1539">
        <v>210</v>
      </c>
      <c r="AF1539">
        <v>10.3</v>
      </c>
      <c r="AG1539">
        <v>27</v>
      </c>
      <c r="AH1539">
        <v>7</v>
      </c>
      <c r="AI1539">
        <v>0</v>
      </c>
      <c r="AJ1539">
        <v>72</v>
      </c>
      <c r="AK1539">
        <v>2</v>
      </c>
      <c r="AL1539">
        <v>0</v>
      </c>
    </row>
    <row r="1540" spans="1:38" x14ac:dyDescent="0.3">
      <c r="A1540">
        <v>360413</v>
      </c>
      <c r="B1540" t="s">
        <v>46</v>
      </c>
      <c r="C1540" t="s">
        <v>770</v>
      </c>
      <c r="D1540">
        <v>2021</v>
      </c>
      <c r="E1540" t="s">
        <v>40</v>
      </c>
      <c r="F1540" t="s">
        <v>41</v>
      </c>
      <c r="P1540">
        <v>6</v>
      </c>
      <c r="Q1540">
        <v>0</v>
      </c>
      <c r="R1540">
        <v>72</v>
      </c>
    </row>
    <row r="1541" spans="1:38" x14ac:dyDescent="0.3">
      <c r="A1541">
        <v>360413</v>
      </c>
      <c r="B1541" t="s">
        <v>46</v>
      </c>
      <c r="C1541" t="s">
        <v>770</v>
      </c>
      <c r="D1541">
        <v>2022</v>
      </c>
      <c r="E1541" t="s">
        <v>40</v>
      </c>
      <c r="F1541" t="s">
        <v>41</v>
      </c>
      <c r="P1541">
        <v>30</v>
      </c>
      <c r="Q1541">
        <v>2</v>
      </c>
      <c r="R1541">
        <v>479</v>
      </c>
      <c r="S1541">
        <v>0</v>
      </c>
      <c r="T1541">
        <v>0</v>
      </c>
      <c r="U1541">
        <v>0</v>
      </c>
      <c r="V1541">
        <v>1</v>
      </c>
      <c r="W1541">
        <v>1</v>
      </c>
      <c r="X1541">
        <v>0</v>
      </c>
      <c r="Z1541">
        <v>0</v>
      </c>
    </row>
    <row r="1542" spans="1:38" x14ac:dyDescent="0.3">
      <c r="A1542">
        <v>360413</v>
      </c>
      <c r="B1542" t="s">
        <v>46</v>
      </c>
      <c r="C1542" t="s">
        <v>770</v>
      </c>
      <c r="D1542">
        <v>2023</v>
      </c>
      <c r="E1542" t="s">
        <v>40</v>
      </c>
      <c r="F1542" t="s">
        <v>41</v>
      </c>
      <c r="P1542">
        <v>47</v>
      </c>
      <c r="Q1542">
        <v>7</v>
      </c>
      <c r="R1542">
        <v>858</v>
      </c>
      <c r="S1542">
        <v>0</v>
      </c>
      <c r="T1542">
        <v>0</v>
      </c>
      <c r="U1542">
        <v>0</v>
      </c>
      <c r="V1542">
        <v>1</v>
      </c>
      <c r="W1542">
        <v>1</v>
      </c>
      <c r="X1542">
        <v>0</v>
      </c>
      <c r="Z1542">
        <v>0</v>
      </c>
      <c r="AK1542">
        <v>2</v>
      </c>
      <c r="AL1542">
        <v>1</v>
      </c>
    </row>
    <row r="1543" spans="1:38" x14ac:dyDescent="0.3">
      <c r="A1543">
        <v>360521</v>
      </c>
      <c r="B1543" t="s">
        <v>50</v>
      </c>
      <c r="C1543" t="s">
        <v>771</v>
      </c>
      <c r="D1543">
        <v>2021</v>
      </c>
      <c r="E1543" t="s">
        <v>414</v>
      </c>
      <c r="F1543" t="s">
        <v>415</v>
      </c>
      <c r="S1543">
        <v>0</v>
      </c>
      <c r="T1543">
        <v>0</v>
      </c>
      <c r="U1543">
        <v>0</v>
      </c>
      <c r="V1543">
        <v>1</v>
      </c>
      <c r="W1543">
        <v>2</v>
      </c>
      <c r="X1543">
        <v>0</v>
      </c>
      <c r="Z1543">
        <v>0</v>
      </c>
    </row>
    <row r="1544" spans="1:38" x14ac:dyDescent="0.3">
      <c r="A1544">
        <v>360521</v>
      </c>
      <c r="B1544" t="s">
        <v>50</v>
      </c>
      <c r="C1544" t="s">
        <v>771</v>
      </c>
      <c r="D1544">
        <v>2022</v>
      </c>
      <c r="E1544" t="s">
        <v>401</v>
      </c>
      <c r="F1544" t="s">
        <v>402</v>
      </c>
      <c r="S1544">
        <v>0</v>
      </c>
      <c r="T1544">
        <v>0</v>
      </c>
      <c r="U1544">
        <v>0</v>
      </c>
      <c r="V1544">
        <v>4</v>
      </c>
      <c r="W1544">
        <v>4</v>
      </c>
      <c r="X1544">
        <v>0</v>
      </c>
      <c r="Y1544">
        <v>1</v>
      </c>
      <c r="Z1544">
        <v>0</v>
      </c>
    </row>
    <row r="1545" spans="1:38" x14ac:dyDescent="0.3">
      <c r="A1545">
        <v>360521</v>
      </c>
      <c r="B1545" t="s">
        <v>50</v>
      </c>
      <c r="C1545" t="s">
        <v>771</v>
      </c>
      <c r="D1545">
        <v>2023</v>
      </c>
      <c r="E1545" t="s">
        <v>401</v>
      </c>
      <c r="F1545" t="s">
        <v>402</v>
      </c>
      <c r="Y1545">
        <v>2</v>
      </c>
      <c r="AK1545">
        <v>0</v>
      </c>
      <c r="AL1545">
        <v>0</v>
      </c>
    </row>
    <row r="1546" spans="1:38" x14ac:dyDescent="0.3">
      <c r="A1546">
        <v>360774</v>
      </c>
      <c r="B1546" t="s">
        <v>46</v>
      </c>
      <c r="C1546" t="s">
        <v>772</v>
      </c>
      <c r="D1546">
        <v>2021</v>
      </c>
      <c r="E1546" t="s">
        <v>773</v>
      </c>
      <c r="F1546" t="s">
        <v>774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P1546">
        <v>63</v>
      </c>
      <c r="Q1546">
        <v>8</v>
      </c>
      <c r="R1546">
        <v>751</v>
      </c>
      <c r="S1546">
        <v>0</v>
      </c>
      <c r="T1546">
        <v>0</v>
      </c>
      <c r="U1546">
        <v>0</v>
      </c>
      <c r="V1546">
        <v>1</v>
      </c>
      <c r="W1546">
        <v>1</v>
      </c>
      <c r="X1546">
        <v>0</v>
      </c>
      <c r="Z1546">
        <v>0</v>
      </c>
      <c r="AF1546">
        <v>4.7</v>
      </c>
      <c r="AG1546">
        <v>9</v>
      </c>
      <c r="AH1546">
        <v>3</v>
      </c>
      <c r="AI1546">
        <v>0</v>
      </c>
      <c r="AJ1546">
        <v>14</v>
      </c>
      <c r="AK1546">
        <v>2</v>
      </c>
      <c r="AL1546">
        <v>1</v>
      </c>
    </row>
    <row r="1547" spans="1:38" x14ac:dyDescent="0.3">
      <c r="A1547">
        <v>360774</v>
      </c>
      <c r="B1547" t="s">
        <v>46</v>
      </c>
      <c r="C1547" t="s">
        <v>772</v>
      </c>
      <c r="D1547">
        <v>2022</v>
      </c>
      <c r="E1547" t="s">
        <v>494</v>
      </c>
      <c r="F1547" t="s">
        <v>495</v>
      </c>
      <c r="M1547">
        <v>1</v>
      </c>
      <c r="N1547">
        <v>3</v>
      </c>
      <c r="O1547">
        <v>0</v>
      </c>
      <c r="P1547">
        <v>58</v>
      </c>
      <c r="Q1547">
        <v>1</v>
      </c>
      <c r="R1547">
        <v>551</v>
      </c>
      <c r="S1547">
        <v>0</v>
      </c>
      <c r="T1547">
        <v>0</v>
      </c>
      <c r="U1547">
        <v>0</v>
      </c>
      <c r="V1547">
        <v>1</v>
      </c>
      <c r="W1547">
        <v>1</v>
      </c>
      <c r="X1547">
        <v>0</v>
      </c>
      <c r="Z1547">
        <v>0</v>
      </c>
      <c r="AF1547">
        <v>-2</v>
      </c>
      <c r="AG1547">
        <v>-2</v>
      </c>
      <c r="AH1547">
        <v>1</v>
      </c>
      <c r="AI1547">
        <v>0</v>
      </c>
      <c r="AJ1547">
        <v>-2</v>
      </c>
      <c r="AK1547">
        <v>1</v>
      </c>
      <c r="AL1547">
        <v>0</v>
      </c>
    </row>
    <row r="1548" spans="1:38" x14ac:dyDescent="0.3">
      <c r="A1548">
        <v>360774</v>
      </c>
      <c r="B1548" t="s">
        <v>46</v>
      </c>
      <c r="C1548" t="s">
        <v>772</v>
      </c>
      <c r="D1548">
        <v>2023</v>
      </c>
      <c r="E1548" t="s">
        <v>494</v>
      </c>
      <c r="F1548" t="s">
        <v>495</v>
      </c>
      <c r="M1548">
        <v>1</v>
      </c>
      <c r="N1548">
        <v>15</v>
      </c>
      <c r="O1548">
        <v>0</v>
      </c>
      <c r="P1548">
        <v>44</v>
      </c>
      <c r="Q1548">
        <v>5</v>
      </c>
      <c r="R1548">
        <v>576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0</v>
      </c>
      <c r="Z1548">
        <v>0</v>
      </c>
      <c r="AA1548">
        <v>20</v>
      </c>
      <c r="AB1548">
        <v>20</v>
      </c>
      <c r="AC1548">
        <v>1</v>
      </c>
      <c r="AD1548">
        <v>0</v>
      </c>
      <c r="AE1548">
        <v>20</v>
      </c>
      <c r="AK1548">
        <v>1</v>
      </c>
      <c r="AL1548">
        <v>1</v>
      </c>
    </row>
    <row r="1549" spans="1:38" x14ac:dyDescent="0.3">
      <c r="A1549">
        <v>360774</v>
      </c>
      <c r="B1549" t="s">
        <v>46</v>
      </c>
      <c r="C1549" t="s">
        <v>772</v>
      </c>
      <c r="D1549">
        <v>2024</v>
      </c>
      <c r="E1549" t="s">
        <v>494</v>
      </c>
      <c r="F1549" t="s">
        <v>495</v>
      </c>
      <c r="P1549">
        <v>52</v>
      </c>
      <c r="Q1549">
        <v>5</v>
      </c>
      <c r="R1549">
        <v>813</v>
      </c>
      <c r="AF1549">
        <v>2</v>
      </c>
      <c r="AG1549">
        <v>2</v>
      </c>
      <c r="AH1549">
        <v>1</v>
      </c>
      <c r="AI1549">
        <v>0</v>
      </c>
      <c r="AJ1549">
        <v>2</v>
      </c>
      <c r="AK1549">
        <v>1</v>
      </c>
      <c r="AL1549">
        <v>1</v>
      </c>
    </row>
    <row r="1550" spans="1:38" x14ac:dyDescent="0.3">
      <c r="A1550">
        <v>361048</v>
      </c>
      <c r="B1550" t="s">
        <v>38</v>
      </c>
      <c r="C1550" t="s">
        <v>775</v>
      </c>
      <c r="D1550">
        <v>2021</v>
      </c>
      <c r="E1550" t="s">
        <v>278</v>
      </c>
      <c r="F1550" t="s">
        <v>279</v>
      </c>
      <c r="S1550">
        <v>0</v>
      </c>
      <c r="T1550">
        <v>0</v>
      </c>
      <c r="U1550">
        <v>0</v>
      </c>
      <c r="V1550">
        <v>9</v>
      </c>
      <c r="W1550">
        <v>21</v>
      </c>
      <c r="X1550">
        <v>2.5</v>
      </c>
      <c r="Z1550">
        <v>0</v>
      </c>
    </row>
    <row r="1551" spans="1:38" x14ac:dyDescent="0.3">
      <c r="A1551">
        <v>361048</v>
      </c>
      <c r="B1551" t="s">
        <v>38</v>
      </c>
      <c r="C1551" t="s">
        <v>775</v>
      </c>
      <c r="D1551">
        <v>2022</v>
      </c>
      <c r="E1551" t="s">
        <v>278</v>
      </c>
      <c r="F1551" t="s">
        <v>279</v>
      </c>
      <c r="S1551">
        <v>0</v>
      </c>
      <c r="T1551">
        <v>2</v>
      </c>
      <c r="U1551">
        <v>1</v>
      </c>
      <c r="V1551">
        <v>8</v>
      </c>
      <c r="W1551">
        <v>22</v>
      </c>
      <c r="X1551">
        <v>2.5</v>
      </c>
      <c r="Z1551">
        <v>0</v>
      </c>
    </row>
    <row r="1552" spans="1:38" x14ac:dyDescent="0.3">
      <c r="A1552">
        <v>361048</v>
      </c>
      <c r="B1552" t="s">
        <v>38</v>
      </c>
      <c r="C1552" t="s">
        <v>775</v>
      </c>
      <c r="D1552">
        <v>2023</v>
      </c>
      <c r="E1552" t="s">
        <v>278</v>
      </c>
      <c r="F1552" t="s">
        <v>279</v>
      </c>
      <c r="S1552">
        <v>0</v>
      </c>
      <c r="T1552">
        <v>2</v>
      </c>
      <c r="U1552">
        <v>0</v>
      </c>
      <c r="V1552">
        <v>8</v>
      </c>
      <c r="W1552">
        <v>28</v>
      </c>
      <c r="X1552">
        <v>0</v>
      </c>
      <c r="Z1552">
        <v>0</v>
      </c>
    </row>
    <row r="1553" spans="1:38" x14ac:dyDescent="0.3">
      <c r="A1553">
        <v>361048</v>
      </c>
      <c r="B1553" t="s">
        <v>38</v>
      </c>
      <c r="C1553" t="s">
        <v>775</v>
      </c>
      <c r="D1553">
        <v>2024</v>
      </c>
      <c r="E1553" t="s">
        <v>278</v>
      </c>
      <c r="F1553" t="s">
        <v>279</v>
      </c>
      <c r="S1553">
        <v>1</v>
      </c>
      <c r="T1553">
        <v>3</v>
      </c>
      <c r="U1553">
        <v>4</v>
      </c>
      <c r="V1553">
        <v>14</v>
      </c>
      <c r="W1553">
        <v>32</v>
      </c>
      <c r="X1553">
        <v>5</v>
      </c>
      <c r="Z1553">
        <v>0</v>
      </c>
      <c r="AK1553">
        <v>0</v>
      </c>
      <c r="AL1553">
        <v>0</v>
      </c>
    </row>
    <row r="1554" spans="1:38" x14ac:dyDescent="0.3">
      <c r="A1554">
        <v>361555</v>
      </c>
      <c r="B1554" t="s">
        <v>84</v>
      </c>
      <c r="C1554" t="s">
        <v>776</v>
      </c>
      <c r="D1554">
        <v>2021</v>
      </c>
      <c r="E1554" t="s">
        <v>173</v>
      </c>
      <c r="F1554" t="s">
        <v>174</v>
      </c>
      <c r="S1554">
        <v>1</v>
      </c>
      <c r="T1554">
        <v>0</v>
      </c>
      <c r="U1554">
        <v>2</v>
      </c>
      <c r="V1554">
        <v>9</v>
      </c>
      <c r="W1554">
        <v>21</v>
      </c>
      <c r="X1554">
        <v>2.5</v>
      </c>
      <c r="Y1554">
        <v>1</v>
      </c>
      <c r="Z1554">
        <v>1</v>
      </c>
    </row>
    <row r="1555" spans="1:38" x14ac:dyDescent="0.3">
      <c r="A1555">
        <v>361555</v>
      </c>
      <c r="B1555" t="s">
        <v>84</v>
      </c>
      <c r="C1555" t="s">
        <v>776</v>
      </c>
      <c r="D1555">
        <v>2022</v>
      </c>
      <c r="E1555" t="s">
        <v>173</v>
      </c>
      <c r="F1555" t="s">
        <v>174</v>
      </c>
      <c r="S1555">
        <v>2</v>
      </c>
      <c r="T1555">
        <v>7</v>
      </c>
      <c r="U1555">
        <v>4</v>
      </c>
      <c r="V1555">
        <v>41</v>
      </c>
      <c r="W1555">
        <v>60</v>
      </c>
      <c r="X1555">
        <v>9</v>
      </c>
      <c r="Z1555">
        <v>0</v>
      </c>
      <c r="AA1555">
        <v>17</v>
      </c>
      <c r="AB1555">
        <v>17</v>
      </c>
      <c r="AC1555">
        <v>1</v>
      </c>
      <c r="AD1555">
        <v>0</v>
      </c>
      <c r="AE1555">
        <v>17</v>
      </c>
    </row>
    <row r="1556" spans="1:38" x14ac:dyDescent="0.3">
      <c r="A1556">
        <v>361555</v>
      </c>
      <c r="B1556" t="s">
        <v>84</v>
      </c>
      <c r="C1556" t="s">
        <v>776</v>
      </c>
      <c r="D1556">
        <v>2023</v>
      </c>
      <c r="E1556" t="s">
        <v>173</v>
      </c>
      <c r="F1556" t="s">
        <v>174</v>
      </c>
      <c r="S1556">
        <v>2</v>
      </c>
      <c r="T1556">
        <v>1</v>
      </c>
      <c r="U1556">
        <v>3.5</v>
      </c>
      <c r="V1556">
        <v>29</v>
      </c>
      <c r="W1556">
        <v>34</v>
      </c>
      <c r="X1556">
        <v>5.5</v>
      </c>
      <c r="Z1556">
        <v>0</v>
      </c>
    </row>
    <row r="1557" spans="1:38" x14ac:dyDescent="0.3">
      <c r="A1557">
        <v>361555</v>
      </c>
      <c r="B1557" t="s">
        <v>84</v>
      </c>
      <c r="C1557" t="s">
        <v>776</v>
      </c>
      <c r="D1557">
        <v>2024</v>
      </c>
      <c r="E1557" t="s">
        <v>579</v>
      </c>
      <c r="F1557" t="s">
        <v>580</v>
      </c>
      <c r="S1557">
        <v>0</v>
      </c>
      <c r="T1557">
        <v>1</v>
      </c>
      <c r="U1557">
        <v>3.5</v>
      </c>
      <c r="V1557">
        <v>39</v>
      </c>
      <c r="W1557">
        <v>67</v>
      </c>
      <c r="X1557">
        <v>7</v>
      </c>
      <c r="Y1557">
        <v>1</v>
      </c>
      <c r="Z1557">
        <v>1</v>
      </c>
      <c r="AK1557">
        <v>0</v>
      </c>
      <c r="AL1557">
        <v>0</v>
      </c>
    </row>
    <row r="1558" spans="1:38" x14ac:dyDescent="0.3">
      <c r="A1558">
        <v>361567</v>
      </c>
      <c r="B1558" t="s">
        <v>38</v>
      </c>
      <c r="C1558" t="s">
        <v>777</v>
      </c>
      <c r="D1558">
        <v>2021</v>
      </c>
      <c r="E1558" t="s">
        <v>56</v>
      </c>
      <c r="F1558" t="s">
        <v>57</v>
      </c>
      <c r="S1558">
        <v>0</v>
      </c>
      <c r="T1558">
        <v>0</v>
      </c>
      <c r="U1558">
        <v>0</v>
      </c>
      <c r="V1558">
        <v>3</v>
      </c>
      <c r="W1558">
        <v>5</v>
      </c>
      <c r="X1558">
        <v>0</v>
      </c>
      <c r="Z1558">
        <v>0</v>
      </c>
    </row>
    <row r="1559" spans="1:38" x14ac:dyDescent="0.3">
      <c r="A1559">
        <v>361567</v>
      </c>
      <c r="B1559" t="s">
        <v>38</v>
      </c>
      <c r="C1559" t="s">
        <v>777</v>
      </c>
      <c r="D1559">
        <v>2022</v>
      </c>
      <c r="E1559" t="s">
        <v>56</v>
      </c>
      <c r="F1559" t="s">
        <v>57</v>
      </c>
      <c r="S1559">
        <v>1</v>
      </c>
      <c r="T1559">
        <v>3</v>
      </c>
      <c r="U1559">
        <v>0</v>
      </c>
      <c r="V1559">
        <v>8</v>
      </c>
      <c r="W1559">
        <v>11</v>
      </c>
      <c r="X1559">
        <v>3</v>
      </c>
      <c r="Z1559">
        <v>0</v>
      </c>
      <c r="AK1559">
        <v>0</v>
      </c>
      <c r="AL1559">
        <v>0</v>
      </c>
    </row>
    <row r="1560" spans="1:38" x14ac:dyDescent="0.3">
      <c r="A1560">
        <v>361567</v>
      </c>
      <c r="B1560" t="s">
        <v>38</v>
      </c>
      <c r="C1560" t="s">
        <v>777</v>
      </c>
      <c r="D1560">
        <v>2023</v>
      </c>
      <c r="E1560" t="s">
        <v>56</v>
      </c>
      <c r="F1560" t="s">
        <v>57</v>
      </c>
      <c r="S1560">
        <v>0</v>
      </c>
      <c r="T1560">
        <v>0</v>
      </c>
      <c r="U1560">
        <v>0</v>
      </c>
      <c r="V1560">
        <v>4</v>
      </c>
      <c r="W1560">
        <v>10</v>
      </c>
      <c r="X1560">
        <v>0.5</v>
      </c>
      <c r="Z1560">
        <v>0</v>
      </c>
      <c r="AK1560">
        <v>0</v>
      </c>
      <c r="AL1560">
        <v>0</v>
      </c>
    </row>
    <row r="1561" spans="1:38" x14ac:dyDescent="0.3">
      <c r="A1561">
        <v>361567</v>
      </c>
      <c r="B1561" t="s">
        <v>38</v>
      </c>
      <c r="C1561" t="s">
        <v>777</v>
      </c>
      <c r="D1561">
        <v>2024</v>
      </c>
      <c r="E1561" t="s">
        <v>56</v>
      </c>
      <c r="F1561" t="s">
        <v>57</v>
      </c>
      <c r="S1561">
        <v>1</v>
      </c>
      <c r="T1561">
        <v>0</v>
      </c>
      <c r="U1561">
        <v>0.5</v>
      </c>
      <c r="V1561">
        <v>12</v>
      </c>
      <c r="W1561">
        <v>30</v>
      </c>
      <c r="X1561">
        <v>3</v>
      </c>
      <c r="Y1561">
        <v>1</v>
      </c>
      <c r="Z1561">
        <v>1</v>
      </c>
    </row>
    <row r="1562" spans="1:38" x14ac:dyDescent="0.3">
      <c r="A1562">
        <v>361664</v>
      </c>
      <c r="B1562" t="s">
        <v>46</v>
      </c>
      <c r="C1562" t="s">
        <v>778</v>
      </c>
      <c r="D1562">
        <v>2021</v>
      </c>
      <c r="E1562" t="s">
        <v>116</v>
      </c>
      <c r="F1562" t="s">
        <v>117</v>
      </c>
      <c r="P1562">
        <v>15</v>
      </c>
      <c r="Q1562">
        <v>2</v>
      </c>
      <c r="R1562">
        <v>192</v>
      </c>
      <c r="AF1562">
        <v>19</v>
      </c>
      <c r="AG1562">
        <v>19</v>
      </c>
      <c r="AH1562">
        <v>1</v>
      </c>
      <c r="AI1562">
        <v>0</v>
      </c>
      <c r="AJ1562">
        <v>19</v>
      </c>
    </row>
    <row r="1563" spans="1:38" x14ac:dyDescent="0.3">
      <c r="A1563">
        <v>361664</v>
      </c>
      <c r="B1563" t="s">
        <v>46</v>
      </c>
      <c r="C1563" t="s">
        <v>778</v>
      </c>
      <c r="D1563">
        <v>2022</v>
      </c>
      <c r="E1563" t="s">
        <v>116</v>
      </c>
      <c r="F1563" t="s">
        <v>117</v>
      </c>
      <c r="P1563">
        <v>39</v>
      </c>
      <c r="Q1563">
        <v>8</v>
      </c>
      <c r="R1563">
        <v>674</v>
      </c>
      <c r="AA1563">
        <v>15.1</v>
      </c>
      <c r="AB1563">
        <v>24</v>
      </c>
      <c r="AC1563">
        <v>7</v>
      </c>
      <c r="AD1563">
        <v>0</v>
      </c>
      <c r="AE1563">
        <v>106</v>
      </c>
      <c r="AF1563">
        <v>21</v>
      </c>
      <c r="AG1563">
        <v>21</v>
      </c>
      <c r="AH1563">
        <v>1</v>
      </c>
      <c r="AI1563">
        <v>0</v>
      </c>
      <c r="AJ1563">
        <v>21</v>
      </c>
    </row>
    <row r="1564" spans="1:38" x14ac:dyDescent="0.3">
      <c r="A1564">
        <v>361664</v>
      </c>
      <c r="B1564" t="s">
        <v>46</v>
      </c>
      <c r="C1564" t="s">
        <v>778</v>
      </c>
      <c r="D1564">
        <v>2023</v>
      </c>
      <c r="E1564" t="s">
        <v>116</v>
      </c>
      <c r="F1564" t="s">
        <v>117</v>
      </c>
      <c r="P1564">
        <v>3</v>
      </c>
      <c r="Q1564">
        <v>0</v>
      </c>
      <c r="R1564">
        <v>30</v>
      </c>
      <c r="S1564">
        <v>0</v>
      </c>
      <c r="T1564">
        <v>0</v>
      </c>
      <c r="U1564">
        <v>0</v>
      </c>
      <c r="V1564">
        <v>1</v>
      </c>
      <c r="W1564">
        <v>1</v>
      </c>
      <c r="X1564">
        <v>0</v>
      </c>
      <c r="Z1564">
        <v>0</v>
      </c>
      <c r="AA1564">
        <v>19</v>
      </c>
      <c r="AB1564">
        <v>19</v>
      </c>
      <c r="AC1564">
        <v>1</v>
      </c>
      <c r="AD1564">
        <v>0</v>
      </c>
      <c r="AE1564">
        <v>19</v>
      </c>
      <c r="AF1564">
        <v>4</v>
      </c>
      <c r="AG1564">
        <v>4</v>
      </c>
      <c r="AH1564">
        <v>1</v>
      </c>
      <c r="AI1564">
        <v>0</v>
      </c>
      <c r="AJ1564">
        <v>4</v>
      </c>
    </row>
    <row r="1565" spans="1:38" x14ac:dyDescent="0.3">
      <c r="A1565">
        <v>361664</v>
      </c>
      <c r="B1565" t="s">
        <v>46</v>
      </c>
      <c r="C1565" t="s">
        <v>778</v>
      </c>
      <c r="D1565">
        <v>2024</v>
      </c>
      <c r="E1565" t="s">
        <v>411</v>
      </c>
      <c r="F1565" t="s">
        <v>412</v>
      </c>
      <c r="P1565">
        <v>61</v>
      </c>
      <c r="Q1565">
        <v>9</v>
      </c>
      <c r="R1565">
        <v>1013</v>
      </c>
      <c r="AA1565">
        <v>19</v>
      </c>
      <c r="AB1565">
        <v>22</v>
      </c>
      <c r="AC1565">
        <v>5</v>
      </c>
      <c r="AD1565">
        <v>0</v>
      </c>
      <c r="AE1565">
        <v>95</v>
      </c>
      <c r="AF1565">
        <v>9.1</v>
      </c>
      <c r="AG1565">
        <v>22</v>
      </c>
      <c r="AH1565">
        <v>8</v>
      </c>
      <c r="AI1565">
        <v>0</v>
      </c>
      <c r="AJ1565">
        <v>73</v>
      </c>
    </row>
    <row r="1566" spans="1:38" x14ac:dyDescent="0.3">
      <c r="A1566">
        <v>361761</v>
      </c>
      <c r="B1566" t="s">
        <v>76</v>
      </c>
      <c r="C1566" t="s">
        <v>779</v>
      </c>
      <c r="D1566">
        <v>2021</v>
      </c>
      <c r="E1566" t="s">
        <v>145</v>
      </c>
      <c r="F1566" t="s">
        <v>146</v>
      </c>
      <c r="M1566">
        <v>114</v>
      </c>
      <c r="N1566">
        <v>578</v>
      </c>
      <c r="O1566">
        <v>5</v>
      </c>
      <c r="P1566">
        <v>11</v>
      </c>
      <c r="Q1566">
        <v>1</v>
      </c>
      <c r="R1566">
        <v>109</v>
      </c>
      <c r="AA1566">
        <v>19</v>
      </c>
      <c r="AB1566">
        <v>19</v>
      </c>
      <c r="AC1566">
        <v>1</v>
      </c>
      <c r="AD1566">
        <v>0</v>
      </c>
      <c r="AE1566">
        <v>19</v>
      </c>
      <c r="AK1566">
        <v>2</v>
      </c>
      <c r="AL1566">
        <v>1</v>
      </c>
    </row>
    <row r="1567" spans="1:38" x14ac:dyDescent="0.3">
      <c r="A1567">
        <v>361761</v>
      </c>
      <c r="B1567" t="s">
        <v>76</v>
      </c>
      <c r="C1567" t="s">
        <v>779</v>
      </c>
      <c r="D1567">
        <v>2022</v>
      </c>
      <c r="E1567" t="s">
        <v>145</v>
      </c>
      <c r="F1567" t="s">
        <v>146</v>
      </c>
      <c r="M1567">
        <v>222</v>
      </c>
      <c r="N1567">
        <v>1443</v>
      </c>
      <c r="O1567">
        <v>10</v>
      </c>
      <c r="P1567">
        <v>28</v>
      </c>
      <c r="Q1567">
        <v>2</v>
      </c>
      <c r="R1567">
        <v>271</v>
      </c>
      <c r="AK1567">
        <v>3</v>
      </c>
      <c r="AL1567">
        <v>2</v>
      </c>
    </row>
    <row r="1568" spans="1:38" x14ac:dyDescent="0.3">
      <c r="A1568">
        <v>361761</v>
      </c>
      <c r="B1568" t="s">
        <v>76</v>
      </c>
      <c r="C1568" t="s">
        <v>779</v>
      </c>
      <c r="D1568">
        <v>2023</v>
      </c>
      <c r="E1568" t="s">
        <v>145</v>
      </c>
      <c r="F1568" t="s">
        <v>146</v>
      </c>
      <c r="M1568">
        <v>62</v>
      </c>
      <c r="N1568">
        <v>209</v>
      </c>
      <c r="O1568">
        <v>2</v>
      </c>
      <c r="P1568">
        <v>10</v>
      </c>
      <c r="Q1568">
        <v>0</v>
      </c>
      <c r="R1568">
        <v>75</v>
      </c>
      <c r="AK1568">
        <v>1</v>
      </c>
      <c r="AL1568">
        <v>1</v>
      </c>
    </row>
    <row r="1569" spans="1:38" x14ac:dyDescent="0.3">
      <c r="A1569">
        <v>361761</v>
      </c>
      <c r="B1569" t="s">
        <v>76</v>
      </c>
      <c r="C1569" t="s">
        <v>779</v>
      </c>
      <c r="D1569">
        <v>2024</v>
      </c>
      <c r="E1569" t="s">
        <v>228</v>
      </c>
      <c r="F1569" t="s">
        <v>229</v>
      </c>
      <c r="M1569">
        <v>183</v>
      </c>
      <c r="N1569">
        <v>881</v>
      </c>
      <c r="O1569">
        <v>11</v>
      </c>
      <c r="P1569">
        <v>27</v>
      </c>
      <c r="Q1569">
        <v>2</v>
      </c>
      <c r="R1569">
        <v>316</v>
      </c>
      <c r="AK1569">
        <v>3</v>
      </c>
      <c r="AL1569">
        <v>2</v>
      </c>
    </row>
    <row r="1570" spans="1:38" x14ac:dyDescent="0.3">
      <c r="A1570">
        <v>361769</v>
      </c>
      <c r="B1570" t="s">
        <v>76</v>
      </c>
      <c r="C1570" t="s">
        <v>780</v>
      </c>
      <c r="D1570">
        <v>2023</v>
      </c>
      <c r="E1570" t="s">
        <v>781</v>
      </c>
      <c r="F1570" t="s">
        <v>782</v>
      </c>
      <c r="M1570">
        <v>52</v>
      </c>
      <c r="N1570">
        <v>350</v>
      </c>
      <c r="O1570">
        <v>3</v>
      </c>
      <c r="P1570">
        <v>5</v>
      </c>
      <c r="Q1570">
        <v>0</v>
      </c>
      <c r="R1570">
        <v>40</v>
      </c>
      <c r="AA1570">
        <v>23</v>
      </c>
      <c r="AB1570">
        <v>23</v>
      </c>
      <c r="AC1570">
        <v>1</v>
      </c>
      <c r="AD1570">
        <v>0</v>
      </c>
      <c r="AE1570">
        <v>23</v>
      </c>
      <c r="AK1570">
        <v>1</v>
      </c>
      <c r="AL1570">
        <v>0</v>
      </c>
    </row>
    <row r="1571" spans="1:38" x14ac:dyDescent="0.3">
      <c r="A1571">
        <v>361769</v>
      </c>
      <c r="B1571" t="s">
        <v>76</v>
      </c>
      <c r="C1571" t="s">
        <v>780</v>
      </c>
      <c r="D1571">
        <v>2024</v>
      </c>
      <c r="E1571" t="s">
        <v>781</v>
      </c>
      <c r="F1571" t="s">
        <v>782</v>
      </c>
      <c r="S1571">
        <v>0</v>
      </c>
      <c r="T1571">
        <v>0</v>
      </c>
      <c r="U1571">
        <v>0</v>
      </c>
      <c r="V1571">
        <v>2</v>
      </c>
      <c r="W1571">
        <v>2</v>
      </c>
      <c r="X1571">
        <v>0</v>
      </c>
      <c r="Z1571">
        <v>0</v>
      </c>
    </row>
    <row r="1572" spans="1:38" x14ac:dyDescent="0.3">
      <c r="A1572">
        <v>361823</v>
      </c>
      <c r="B1572" t="s">
        <v>38</v>
      </c>
      <c r="C1572" t="s">
        <v>783</v>
      </c>
      <c r="D1572">
        <v>2021</v>
      </c>
      <c r="E1572" t="s">
        <v>348</v>
      </c>
      <c r="F1572" t="s">
        <v>349</v>
      </c>
      <c r="S1572">
        <v>0</v>
      </c>
      <c r="T1572">
        <v>0</v>
      </c>
      <c r="U1572">
        <v>0</v>
      </c>
      <c r="V1572">
        <v>6</v>
      </c>
      <c r="W1572">
        <v>9</v>
      </c>
      <c r="X1572">
        <v>0.5</v>
      </c>
      <c r="Z1572">
        <v>0</v>
      </c>
    </row>
    <row r="1573" spans="1:38" x14ac:dyDescent="0.3">
      <c r="A1573">
        <v>361823</v>
      </c>
      <c r="B1573" t="s">
        <v>38</v>
      </c>
      <c r="C1573" t="s">
        <v>783</v>
      </c>
      <c r="D1573">
        <v>2022</v>
      </c>
      <c r="E1573" t="s">
        <v>348</v>
      </c>
      <c r="F1573" t="s">
        <v>349</v>
      </c>
      <c r="S1573">
        <v>1</v>
      </c>
      <c r="T1573">
        <v>0</v>
      </c>
      <c r="U1573">
        <v>0</v>
      </c>
      <c r="V1573">
        <v>19</v>
      </c>
      <c r="W1573">
        <v>32</v>
      </c>
      <c r="X1573">
        <v>1</v>
      </c>
      <c r="Z1573">
        <v>0</v>
      </c>
    </row>
    <row r="1574" spans="1:38" x14ac:dyDescent="0.3">
      <c r="A1574">
        <v>361823</v>
      </c>
      <c r="B1574" t="s">
        <v>38</v>
      </c>
      <c r="C1574" t="s">
        <v>783</v>
      </c>
      <c r="D1574">
        <v>2023</v>
      </c>
      <c r="E1574" t="s">
        <v>348</v>
      </c>
      <c r="F1574" t="s">
        <v>349</v>
      </c>
      <c r="S1574">
        <v>3</v>
      </c>
      <c r="T1574">
        <v>0</v>
      </c>
      <c r="U1574">
        <v>1</v>
      </c>
      <c r="V1574">
        <v>16</v>
      </c>
      <c r="W1574">
        <v>37</v>
      </c>
      <c r="X1574">
        <v>4</v>
      </c>
      <c r="Z1574">
        <v>0</v>
      </c>
      <c r="AK1574">
        <v>0</v>
      </c>
      <c r="AL1574">
        <v>0</v>
      </c>
    </row>
    <row r="1575" spans="1:38" x14ac:dyDescent="0.3">
      <c r="A1575">
        <v>361823</v>
      </c>
      <c r="B1575" t="s">
        <v>38</v>
      </c>
      <c r="C1575" t="s">
        <v>783</v>
      </c>
      <c r="D1575">
        <v>2024</v>
      </c>
      <c r="E1575" t="s">
        <v>348</v>
      </c>
      <c r="F1575" t="s">
        <v>349</v>
      </c>
      <c r="S1575">
        <v>3</v>
      </c>
      <c r="T1575">
        <v>1</v>
      </c>
      <c r="U1575">
        <v>1</v>
      </c>
      <c r="V1575">
        <v>12</v>
      </c>
      <c r="W1575">
        <v>23</v>
      </c>
      <c r="X1575">
        <v>3.5</v>
      </c>
      <c r="Z1575">
        <v>0</v>
      </c>
      <c r="AK1575">
        <v>0</v>
      </c>
      <c r="AL1575">
        <v>0</v>
      </c>
    </row>
    <row r="1576" spans="1:38" x14ac:dyDescent="0.3">
      <c r="A1576">
        <v>361898</v>
      </c>
      <c r="B1576" t="s">
        <v>50</v>
      </c>
      <c r="C1576" t="s">
        <v>784</v>
      </c>
      <c r="D1576">
        <v>2021</v>
      </c>
      <c r="E1576" t="s">
        <v>61</v>
      </c>
      <c r="F1576" t="s">
        <v>62</v>
      </c>
      <c r="S1576">
        <v>1</v>
      </c>
      <c r="T1576">
        <v>0</v>
      </c>
      <c r="U1576">
        <v>0</v>
      </c>
      <c r="V1576">
        <v>4</v>
      </c>
      <c r="W1576">
        <v>5</v>
      </c>
      <c r="X1576">
        <v>0</v>
      </c>
      <c r="Z1576">
        <v>0</v>
      </c>
    </row>
    <row r="1577" spans="1:38" x14ac:dyDescent="0.3">
      <c r="A1577">
        <v>361898</v>
      </c>
      <c r="B1577" t="s">
        <v>50</v>
      </c>
      <c r="C1577" t="s">
        <v>784</v>
      </c>
      <c r="D1577">
        <v>2022</v>
      </c>
      <c r="E1577" t="s">
        <v>271</v>
      </c>
      <c r="F1577" t="s">
        <v>272</v>
      </c>
      <c r="S1577">
        <v>8</v>
      </c>
      <c r="T1577">
        <v>0</v>
      </c>
      <c r="U1577">
        <v>0</v>
      </c>
      <c r="V1577">
        <v>26</v>
      </c>
      <c r="W1577">
        <v>36</v>
      </c>
      <c r="X1577">
        <v>0</v>
      </c>
      <c r="Y1577">
        <v>1</v>
      </c>
      <c r="Z1577">
        <v>0</v>
      </c>
    </row>
    <row r="1578" spans="1:38" x14ac:dyDescent="0.3">
      <c r="A1578">
        <v>361898</v>
      </c>
      <c r="B1578" t="s">
        <v>50</v>
      </c>
      <c r="C1578" t="s">
        <v>784</v>
      </c>
      <c r="D1578">
        <v>2023</v>
      </c>
      <c r="E1578" t="s">
        <v>271</v>
      </c>
      <c r="F1578" t="s">
        <v>272</v>
      </c>
      <c r="S1578">
        <v>3</v>
      </c>
      <c r="T1578">
        <v>0</v>
      </c>
      <c r="U1578">
        <v>2</v>
      </c>
      <c r="V1578">
        <v>23</v>
      </c>
      <c r="W1578">
        <v>37</v>
      </c>
      <c r="X1578">
        <v>2</v>
      </c>
      <c r="Y1578">
        <v>1</v>
      </c>
      <c r="Z1578">
        <v>0</v>
      </c>
    </row>
    <row r="1579" spans="1:38" x14ac:dyDescent="0.3">
      <c r="A1579">
        <v>361907</v>
      </c>
      <c r="B1579" t="s">
        <v>42</v>
      </c>
      <c r="C1579" t="s">
        <v>785</v>
      </c>
      <c r="D1579">
        <v>2021</v>
      </c>
      <c r="E1579" t="s">
        <v>278</v>
      </c>
      <c r="F1579" t="s">
        <v>279</v>
      </c>
      <c r="S1579">
        <v>0</v>
      </c>
      <c r="T1579">
        <v>0</v>
      </c>
      <c r="U1579">
        <v>0</v>
      </c>
      <c r="V1579">
        <v>2</v>
      </c>
      <c r="W1579">
        <v>3</v>
      </c>
      <c r="X1579">
        <v>0</v>
      </c>
      <c r="Y1579">
        <v>1</v>
      </c>
      <c r="Z1579">
        <v>0</v>
      </c>
    </row>
    <row r="1580" spans="1:38" x14ac:dyDescent="0.3">
      <c r="A1580">
        <v>361907</v>
      </c>
      <c r="B1580" t="s">
        <v>42</v>
      </c>
      <c r="C1580" t="s">
        <v>785</v>
      </c>
      <c r="D1580">
        <v>2022</v>
      </c>
      <c r="E1580" t="s">
        <v>184</v>
      </c>
      <c r="F1580" t="s">
        <v>185</v>
      </c>
      <c r="S1580">
        <v>2</v>
      </c>
      <c r="T1580">
        <v>0</v>
      </c>
      <c r="U1580">
        <v>0</v>
      </c>
      <c r="V1580">
        <v>27</v>
      </c>
      <c r="W1580">
        <v>48</v>
      </c>
      <c r="X1580">
        <v>2.5</v>
      </c>
      <c r="Z1580">
        <v>0</v>
      </c>
    </row>
    <row r="1581" spans="1:38" x14ac:dyDescent="0.3">
      <c r="A1581">
        <v>361907</v>
      </c>
      <c r="B1581" t="s">
        <v>42</v>
      </c>
      <c r="C1581" t="s">
        <v>785</v>
      </c>
      <c r="D1581">
        <v>2023</v>
      </c>
      <c r="E1581" t="s">
        <v>184</v>
      </c>
      <c r="F1581" t="s">
        <v>185</v>
      </c>
      <c r="S1581">
        <v>3</v>
      </c>
      <c r="T1581">
        <v>2</v>
      </c>
      <c r="U1581">
        <v>0</v>
      </c>
      <c r="V1581">
        <v>37</v>
      </c>
      <c r="W1581">
        <v>62</v>
      </c>
      <c r="X1581">
        <v>3.5</v>
      </c>
      <c r="Z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0</v>
      </c>
    </row>
    <row r="1582" spans="1:38" x14ac:dyDescent="0.3">
      <c r="A1582">
        <v>361907</v>
      </c>
      <c r="B1582" t="s">
        <v>42</v>
      </c>
      <c r="C1582" t="s">
        <v>785</v>
      </c>
      <c r="D1582">
        <v>2024</v>
      </c>
      <c r="E1582" t="s">
        <v>184</v>
      </c>
      <c r="F1582" t="s">
        <v>185</v>
      </c>
      <c r="S1582">
        <v>4</v>
      </c>
      <c r="T1582">
        <v>1</v>
      </c>
      <c r="U1582">
        <v>0</v>
      </c>
      <c r="V1582">
        <v>36</v>
      </c>
      <c r="W1582">
        <v>59</v>
      </c>
      <c r="X1582">
        <v>3.5</v>
      </c>
      <c r="Y1582">
        <v>1</v>
      </c>
      <c r="Z1582">
        <v>0</v>
      </c>
    </row>
    <row r="1583" spans="1:38" x14ac:dyDescent="0.3">
      <c r="A1583">
        <v>361951</v>
      </c>
      <c r="B1583" t="s">
        <v>46</v>
      </c>
      <c r="C1583" t="s">
        <v>786</v>
      </c>
      <c r="D1583">
        <v>2021</v>
      </c>
      <c r="E1583" t="s">
        <v>173</v>
      </c>
      <c r="F1583" t="s">
        <v>174</v>
      </c>
      <c r="P1583">
        <v>3</v>
      </c>
      <c r="Q1583">
        <v>0</v>
      </c>
      <c r="R1583">
        <v>44</v>
      </c>
      <c r="S1583">
        <v>0</v>
      </c>
      <c r="T1583">
        <v>0</v>
      </c>
      <c r="U1583">
        <v>0</v>
      </c>
      <c r="V1583">
        <v>2</v>
      </c>
      <c r="W1583">
        <v>2</v>
      </c>
      <c r="X1583">
        <v>0</v>
      </c>
      <c r="Z1583">
        <v>0</v>
      </c>
    </row>
    <row r="1584" spans="1:38" x14ac:dyDescent="0.3">
      <c r="A1584">
        <v>361951</v>
      </c>
      <c r="B1584" t="s">
        <v>46</v>
      </c>
      <c r="C1584" t="s">
        <v>786</v>
      </c>
      <c r="D1584">
        <v>2022</v>
      </c>
      <c r="E1584" t="s">
        <v>173</v>
      </c>
      <c r="F1584" t="s">
        <v>174</v>
      </c>
      <c r="P1584">
        <v>6</v>
      </c>
      <c r="Q1584">
        <v>0</v>
      </c>
      <c r="R1584">
        <v>65</v>
      </c>
      <c r="S1584">
        <v>0</v>
      </c>
      <c r="T1584">
        <v>0</v>
      </c>
      <c r="U1584">
        <v>0</v>
      </c>
      <c r="V1584">
        <v>2</v>
      </c>
      <c r="W1584">
        <v>2</v>
      </c>
      <c r="X1584">
        <v>0</v>
      </c>
      <c r="Z1584">
        <v>0</v>
      </c>
    </row>
    <row r="1585" spans="1:38" x14ac:dyDescent="0.3">
      <c r="A1585">
        <v>361951</v>
      </c>
      <c r="B1585" t="s">
        <v>46</v>
      </c>
      <c r="C1585" t="s">
        <v>786</v>
      </c>
      <c r="D1585">
        <v>2023</v>
      </c>
      <c r="E1585" t="s">
        <v>173</v>
      </c>
      <c r="F1585" t="s">
        <v>174</v>
      </c>
      <c r="P1585">
        <v>1</v>
      </c>
      <c r="Q1585">
        <v>0</v>
      </c>
      <c r="R1585">
        <v>23</v>
      </c>
    </row>
    <row r="1586" spans="1:38" x14ac:dyDescent="0.3">
      <c r="A1586">
        <v>361951</v>
      </c>
      <c r="B1586" t="s">
        <v>46</v>
      </c>
      <c r="C1586" t="s">
        <v>786</v>
      </c>
      <c r="D1586">
        <v>2024</v>
      </c>
      <c r="E1586" t="s">
        <v>184</v>
      </c>
      <c r="F1586" t="s">
        <v>185</v>
      </c>
      <c r="P1586">
        <v>78</v>
      </c>
      <c r="Q1586">
        <v>7</v>
      </c>
      <c r="R1586">
        <v>1021</v>
      </c>
      <c r="S1586">
        <v>0</v>
      </c>
      <c r="T1586">
        <v>0</v>
      </c>
      <c r="U1586">
        <v>0</v>
      </c>
      <c r="V1586">
        <v>2</v>
      </c>
      <c r="W1586">
        <v>2</v>
      </c>
      <c r="X1586">
        <v>0</v>
      </c>
      <c r="Z1586">
        <v>0</v>
      </c>
      <c r="AK1586">
        <v>1</v>
      </c>
      <c r="AL1586">
        <v>0</v>
      </c>
    </row>
    <row r="1587" spans="1:38" x14ac:dyDescent="0.3">
      <c r="A1587">
        <v>361989</v>
      </c>
      <c r="B1587" t="s">
        <v>46</v>
      </c>
      <c r="C1587" t="s">
        <v>787</v>
      </c>
      <c r="D1587">
        <v>2021</v>
      </c>
      <c r="E1587" t="s">
        <v>98</v>
      </c>
      <c r="F1587" t="s">
        <v>99</v>
      </c>
      <c r="P1587">
        <v>12</v>
      </c>
      <c r="Q1587">
        <v>0</v>
      </c>
      <c r="R1587">
        <v>175</v>
      </c>
    </row>
    <row r="1588" spans="1:38" x14ac:dyDescent="0.3">
      <c r="A1588">
        <v>361989</v>
      </c>
      <c r="B1588" t="s">
        <v>46</v>
      </c>
      <c r="C1588" t="s">
        <v>787</v>
      </c>
      <c r="D1588">
        <v>2022</v>
      </c>
      <c r="E1588" t="s">
        <v>98</v>
      </c>
      <c r="F1588" t="s">
        <v>99</v>
      </c>
      <c r="P1588">
        <v>52</v>
      </c>
      <c r="Q1588">
        <v>3</v>
      </c>
      <c r="R1588">
        <v>501</v>
      </c>
      <c r="S1588">
        <v>0</v>
      </c>
      <c r="T1588">
        <v>0</v>
      </c>
      <c r="U1588">
        <v>0</v>
      </c>
      <c r="V1588">
        <v>1</v>
      </c>
      <c r="W1588">
        <v>1</v>
      </c>
      <c r="X1588">
        <v>0</v>
      </c>
      <c r="Z1588">
        <v>0</v>
      </c>
      <c r="AK1588">
        <v>1</v>
      </c>
      <c r="AL1588">
        <v>1</v>
      </c>
    </row>
    <row r="1589" spans="1:38" x14ac:dyDescent="0.3">
      <c r="A1589">
        <v>361989</v>
      </c>
      <c r="B1589" t="s">
        <v>46</v>
      </c>
      <c r="C1589" t="s">
        <v>787</v>
      </c>
      <c r="D1589">
        <v>2023</v>
      </c>
      <c r="E1589" t="s">
        <v>489</v>
      </c>
      <c r="F1589" t="s">
        <v>490</v>
      </c>
      <c r="M1589">
        <v>1</v>
      </c>
      <c r="N1589">
        <v>36</v>
      </c>
      <c r="O1589">
        <v>0</v>
      </c>
      <c r="P1589">
        <v>42</v>
      </c>
      <c r="Q1589">
        <v>5</v>
      </c>
      <c r="R1589">
        <v>666</v>
      </c>
      <c r="S1589">
        <v>0</v>
      </c>
      <c r="T1589">
        <v>0</v>
      </c>
      <c r="U1589">
        <v>0</v>
      </c>
      <c r="V1589">
        <v>1</v>
      </c>
      <c r="W1589">
        <v>1</v>
      </c>
      <c r="X1589">
        <v>0</v>
      </c>
      <c r="Z1589">
        <v>0</v>
      </c>
      <c r="AK1589">
        <v>2</v>
      </c>
      <c r="AL1589">
        <v>1</v>
      </c>
    </row>
    <row r="1590" spans="1:38" x14ac:dyDescent="0.3">
      <c r="A1590">
        <v>361989</v>
      </c>
      <c r="B1590" t="s">
        <v>46</v>
      </c>
      <c r="C1590" t="s">
        <v>787</v>
      </c>
      <c r="D1590">
        <v>2024</v>
      </c>
      <c r="E1590" t="s">
        <v>489</v>
      </c>
      <c r="F1590" t="s">
        <v>490</v>
      </c>
      <c r="M1590">
        <v>1</v>
      </c>
      <c r="N1590">
        <v>-1</v>
      </c>
      <c r="O1590">
        <v>0</v>
      </c>
      <c r="P1590">
        <v>56</v>
      </c>
      <c r="Q1590">
        <v>4</v>
      </c>
      <c r="R1590">
        <v>624</v>
      </c>
      <c r="S1590">
        <v>0</v>
      </c>
      <c r="T1590">
        <v>0</v>
      </c>
      <c r="U1590">
        <v>0</v>
      </c>
      <c r="V1590">
        <v>1</v>
      </c>
      <c r="W1590">
        <v>1</v>
      </c>
      <c r="X1590">
        <v>0</v>
      </c>
      <c r="Z1590">
        <v>0</v>
      </c>
    </row>
    <row r="1591" spans="1:38" x14ac:dyDescent="0.3">
      <c r="A1591">
        <v>362057</v>
      </c>
      <c r="B1591" t="s">
        <v>69</v>
      </c>
      <c r="C1591" t="s">
        <v>788</v>
      </c>
      <c r="D1591">
        <v>2021</v>
      </c>
      <c r="E1591" t="s">
        <v>243</v>
      </c>
      <c r="F1591" t="s">
        <v>244</v>
      </c>
      <c r="S1591">
        <v>0</v>
      </c>
      <c r="T1591">
        <v>2</v>
      </c>
      <c r="U1591">
        <v>0.5</v>
      </c>
      <c r="V1591">
        <v>9</v>
      </c>
      <c r="W1591">
        <v>14</v>
      </c>
      <c r="X1591">
        <v>3</v>
      </c>
      <c r="Z1591">
        <v>0</v>
      </c>
    </row>
    <row r="1592" spans="1:38" x14ac:dyDescent="0.3">
      <c r="A1592">
        <v>362057</v>
      </c>
      <c r="B1592" t="s">
        <v>69</v>
      </c>
      <c r="C1592" t="s">
        <v>788</v>
      </c>
      <c r="D1592">
        <v>2022</v>
      </c>
      <c r="E1592" t="s">
        <v>243</v>
      </c>
      <c r="F1592" t="s">
        <v>244</v>
      </c>
      <c r="S1592">
        <v>3</v>
      </c>
      <c r="T1592">
        <v>9</v>
      </c>
      <c r="U1592">
        <v>4.5</v>
      </c>
      <c r="V1592">
        <v>17</v>
      </c>
      <c r="W1592">
        <v>37</v>
      </c>
      <c r="X1592">
        <v>12.5</v>
      </c>
      <c r="Z1592">
        <v>0</v>
      </c>
      <c r="AK1592">
        <v>0</v>
      </c>
      <c r="AL1592">
        <v>0</v>
      </c>
    </row>
    <row r="1593" spans="1:38" x14ac:dyDescent="0.3">
      <c r="A1593">
        <v>362057</v>
      </c>
      <c r="B1593" t="s">
        <v>69</v>
      </c>
      <c r="C1593" t="s">
        <v>788</v>
      </c>
      <c r="D1593">
        <v>2023</v>
      </c>
      <c r="E1593" t="s">
        <v>243</v>
      </c>
      <c r="F1593" t="s">
        <v>244</v>
      </c>
      <c r="S1593">
        <v>0</v>
      </c>
      <c r="T1593">
        <v>6</v>
      </c>
      <c r="U1593">
        <v>4.5</v>
      </c>
      <c r="V1593">
        <v>14</v>
      </c>
      <c r="W1593">
        <v>26</v>
      </c>
      <c r="X1593">
        <v>6.5</v>
      </c>
      <c r="Y1593">
        <v>1</v>
      </c>
      <c r="Z1593">
        <v>0</v>
      </c>
    </row>
    <row r="1594" spans="1:38" x14ac:dyDescent="0.3">
      <c r="A1594">
        <v>362057</v>
      </c>
      <c r="B1594" t="s">
        <v>69</v>
      </c>
      <c r="C1594" t="s">
        <v>788</v>
      </c>
      <c r="D1594">
        <v>2024</v>
      </c>
      <c r="E1594" t="s">
        <v>243</v>
      </c>
      <c r="F1594" t="s">
        <v>244</v>
      </c>
      <c r="S1594">
        <v>2</v>
      </c>
      <c r="T1594">
        <v>2</v>
      </c>
      <c r="U1594">
        <v>3</v>
      </c>
      <c r="V1594">
        <v>21</v>
      </c>
      <c r="W1594">
        <v>29</v>
      </c>
      <c r="X1594">
        <v>9</v>
      </c>
      <c r="Z1594">
        <v>0</v>
      </c>
      <c r="AK1594">
        <v>0</v>
      </c>
      <c r="AL1594">
        <v>0</v>
      </c>
    </row>
    <row r="1595" spans="1:38" x14ac:dyDescent="0.3">
      <c r="A1595">
        <v>362073</v>
      </c>
      <c r="B1595" t="s">
        <v>76</v>
      </c>
      <c r="C1595" t="s">
        <v>789</v>
      </c>
      <c r="D1595">
        <v>2021</v>
      </c>
      <c r="E1595" t="s">
        <v>546</v>
      </c>
      <c r="F1595" t="s">
        <v>547</v>
      </c>
      <c r="M1595">
        <v>192</v>
      </c>
      <c r="N1595">
        <v>891</v>
      </c>
      <c r="O1595">
        <v>6</v>
      </c>
      <c r="P1595">
        <v>12</v>
      </c>
      <c r="Q1595">
        <v>1</v>
      </c>
      <c r="R1595">
        <v>157</v>
      </c>
      <c r="AK1595">
        <v>2</v>
      </c>
      <c r="AL1595">
        <v>0</v>
      </c>
    </row>
    <row r="1596" spans="1:38" x14ac:dyDescent="0.3">
      <c r="A1596">
        <v>362073</v>
      </c>
      <c r="B1596" t="s">
        <v>76</v>
      </c>
      <c r="C1596" t="s">
        <v>789</v>
      </c>
      <c r="D1596">
        <v>2022</v>
      </c>
      <c r="E1596" t="s">
        <v>546</v>
      </c>
      <c r="F1596" t="s">
        <v>547</v>
      </c>
      <c r="M1596">
        <v>290</v>
      </c>
      <c r="N1596">
        <v>1581</v>
      </c>
      <c r="O1596">
        <v>14</v>
      </c>
      <c r="P1596">
        <v>28</v>
      </c>
      <c r="Q1596">
        <v>1</v>
      </c>
      <c r="R1596">
        <v>163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0</v>
      </c>
      <c r="Z1596">
        <v>0</v>
      </c>
      <c r="AK1596">
        <v>3</v>
      </c>
      <c r="AL1596">
        <v>2</v>
      </c>
    </row>
    <row r="1597" spans="1:38" x14ac:dyDescent="0.3">
      <c r="A1597">
        <v>362073</v>
      </c>
      <c r="B1597" t="s">
        <v>76</v>
      </c>
      <c r="C1597" t="s">
        <v>789</v>
      </c>
      <c r="D1597">
        <v>2023</v>
      </c>
      <c r="E1597" t="s">
        <v>323</v>
      </c>
      <c r="F1597" t="s">
        <v>324</v>
      </c>
      <c r="M1597">
        <v>167</v>
      </c>
      <c r="N1597">
        <v>846</v>
      </c>
      <c r="O1597">
        <v>6</v>
      </c>
      <c r="P1597">
        <v>17</v>
      </c>
      <c r="Q1597">
        <v>2</v>
      </c>
      <c r="R1597">
        <v>163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Z1597">
        <v>0</v>
      </c>
      <c r="AK1597">
        <v>2</v>
      </c>
      <c r="AL1597">
        <v>2</v>
      </c>
    </row>
    <row r="1598" spans="1:38" x14ac:dyDescent="0.3">
      <c r="A1598">
        <v>362153</v>
      </c>
      <c r="B1598" t="s">
        <v>46</v>
      </c>
      <c r="C1598" t="s">
        <v>790</v>
      </c>
      <c r="D1598">
        <v>2021</v>
      </c>
      <c r="E1598" t="s">
        <v>102</v>
      </c>
      <c r="F1598" t="s">
        <v>103</v>
      </c>
      <c r="P1598">
        <v>9</v>
      </c>
      <c r="Q1598">
        <v>2</v>
      </c>
      <c r="R1598">
        <v>175</v>
      </c>
    </row>
    <row r="1599" spans="1:38" x14ac:dyDescent="0.3">
      <c r="A1599">
        <v>362153</v>
      </c>
      <c r="B1599" t="s">
        <v>46</v>
      </c>
      <c r="C1599" t="s">
        <v>790</v>
      </c>
      <c r="D1599">
        <v>2022</v>
      </c>
      <c r="E1599" t="s">
        <v>102</v>
      </c>
      <c r="F1599" t="s">
        <v>103</v>
      </c>
      <c r="M1599">
        <v>2</v>
      </c>
      <c r="N1599">
        <v>6</v>
      </c>
      <c r="O1599">
        <v>0</v>
      </c>
      <c r="P1599">
        <v>17</v>
      </c>
      <c r="Q1599">
        <v>1</v>
      </c>
      <c r="R1599">
        <v>366</v>
      </c>
      <c r="S1599">
        <v>0</v>
      </c>
      <c r="T1599">
        <v>0</v>
      </c>
      <c r="U1599">
        <v>0</v>
      </c>
      <c r="V1599">
        <v>1</v>
      </c>
      <c r="W1599">
        <v>1</v>
      </c>
      <c r="X1599">
        <v>0</v>
      </c>
      <c r="Z1599">
        <v>0</v>
      </c>
      <c r="AK1599">
        <v>2</v>
      </c>
      <c r="AL1599">
        <v>2</v>
      </c>
    </row>
    <row r="1600" spans="1:38" x14ac:dyDescent="0.3">
      <c r="A1600">
        <v>362153</v>
      </c>
      <c r="B1600" t="s">
        <v>46</v>
      </c>
      <c r="C1600" t="s">
        <v>790</v>
      </c>
      <c r="D1600">
        <v>2023</v>
      </c>
      <c r="E1600" t="s">
        <v>171</v>
      </c>
      <c r="F1600" t="s">
        <v>172</v>
      </c>
      <c r="P1600">
        <v>13</v>
      </c>
      <c r="Q1600">
        <v>1</v>
      </c>
      <c r="R1600">
        <v>224</v>
      </c>
    </row>
    <row r="1601" spans="1:38" x14ac:dyDescent="0.3">
      <c r="A1601">
        <v>362153</v>
      </c>
      <c r="B1601" t="s">
        <v>46</v>
      </c>
      <c r="C1601" t="s">
        <v>790</v>
      </c>
      <c r="D1601">
        <v>2024</v>
      </c>
      <c r="E1601" t="s">
        <v>171</v>
      </c>
      <c r="F1601" t="s">
        <v>172</v>
      </c>
      <c r="P1601">
        <v>26</v>
      </c>
      <c r="Q1601">
        <v>6</v>
      </c>
      <c r="R1601">
        <v>661</v>
      </c>
      <c r="S1601">
        <v>0</v>
      </c>
      <c r="T1601">
        <v>0</v>
      </c>
      <c r="U1601">
        <v>0</v>
      </c>
      <c r="V1601">
        <v>1</v>
      </c>
      <c r="W1601">
        <v>1</v>
      </c>
      <c r="X1601">
        <v>0</v>
      </c>
      <c r="Z1601">
        <v>0</v>
      </c>
    </row>
    <row r="1602" spans="1:38" x14ac:dyDescent="0.3">
      <c r="A1602">
        <v>362249</v>
      </c>
      <c r="B1602" t="s">
        <v>214</v>
      </c>
      <c r="C1602" t="s">
        <v>791</v>
      </c>
      <c r="D1602">
        <v>2023</v>
      </c>
      <c r="E1602" t="s">
        <v>122</v>
      </c>
      <c r="F1602" t="s">
        <v>123</v>
      </c>
      <c r="S1602">
        <v>0</v>
      </c>
      <c r="T1602">
        <v>0</v>
      </c>
      <c r="U1602">
        <v>0</v>
      </c>
      <c r="V1602">
        <v>1</v>
      </c>
      <c r="W1602">
        <v>1</v>
      </c>
      <c r="X1602">
        <v>0</v>
      </c>
      <c r="Z1602">
        <v>0</v>
      </c>
    </row>
    <row r="1603" spans="1:38" x14ac:dyDescent="0.3">
      <c r="A1603">
        <v>362581</v>
      </c>
      <c r="B1603" t="s">
        <v>84</v>
      </c>
      <c r="C1603" t="s">
        <v>792</v>
      </c>
      <c r="D1603">
        <v>2021</v>
      </c>
      <c r="E1603" t="s">
        <v>105</v>
      </c>
      <c r="F1603" t="s">
        <v>106</v>
      </c>
      <c r="S1603">
        <v>0</v>
      </c>
      <c r="T1603">
        <v>0</v>
      </c>
      <c r="U1603">
        <v>0</v>
      </c>
      <c r="V1603">
        <v>5</v>
      </c>
      <c r="W1603">
        <v>11</v>
      </c>
      <c r="X1603">
        <v>0</v>
      </c>
      <c r="Z1603">
        <v>0</v>
      </c>
    </row>
    <row r="1604" spans="1:38" x14ac:dyDescent="0.3">
      <c r="A1604">
        <v>362581</v>
      </c>
      <c r="B1604" t="s">
        <v>84</v>
      </c>
      <c r="C1604" t="s">
        <v>792</v>
      </c>
      <c r="D1604">
        <v>2022</v>
      </c>
      <c r="E1604" t="s">
        <v>105</v>
      </c>
      <c r="F1604" t="s">
        <v>106</v>
      </c>
      <c r="S1604">
        <v>2</v>
      </c>
      <c r="T1604">
        <v>2</v>
      </c>
      <c r="U1604">
        <v>0</v>
      </c>
      <c r="V1604">
        <v>39</v>
      </c>
      <c r="W1604">
        <v>70</v>
      </c>
      <c r="X1604">
        <v>6</v>
      </c>
      <c r="Z1604">
        <v>0</v>
      </c>
      <c r="AK1604">
        <v>0</v>
      </c>
      <c r="AL1604">
        <v>0</v>
      </c>
    </row>
    <row r="1605" spans="1:38" x14ac:dyDescent="0.3">
      <c r="A1605">
        <v>362581</v>
      </c>
      <c r="B1605" t="s">
        <v>84</v>
      </c>
      <c r="C1605" t="s">
        <v>792</v>
      </c>
      <c r="D1605">
        <v>2023</v>
      </c>
      <c r="E1605" t="s">
        <v>105</v>
      </c>
      <c r="F1605" t="s">
        <v>106</v>
      </c>
      <c r="S1605">
        <v>1</v>
      </c>
      <c r="T1605">
        <v>1</v>
      </c>
      <c r="U1605">
        <v>4</v>
      </c>
      <c r="V1605">
        <v>34</v>
      </c>
      <c r="W1605">
        <v>89</v>
      </c>
      <c r="X1605">
        <v>6.5</v>
      </c>
      <c r="Y1605">
        <v>2</v>
      </c>
      <c r="Z1605">
        <v>0</v>
      </c>
    </row>
    <row r="1606" spans="1:38" x14ac:dyDescent="0.3">
      <c r="A1606">
        <v>362581</v>
      </c>
      <c r="B1606" t="s">
        <v>84</v>
      </c>
      <c r="C1606" t="s">
        <v>792</v>
      </c>
      <c r="D1606">
        <v>2024</v>
      </c>
      <c r="E1606" t="s">
        <v>105</v>
      </c>
      <c r="F1606" t="s">
        <v>106</v>
      </c>
      <c r="S1606">
        <v>0</v>
      </c>
      <c r="T1606">
        <v>8</v>
      </c>
      <c r="U1606">
        <v>1.5</v>
      </c>
      <c r="V1606">
        <v>41</v>
      </c>
      <c r="W1606">
        <v>83</v>
      </c>
      <c r="X1606">
        <v>5</v>
      </c>
      <c r="Z1606">
        <v>0</v>
      </c>
    </row>
    <row r="1607" spans="1:38" x14ac:dyDescent="0.3">
      <c r="A1607">
        <v>362631</v>
      </c>
      <c r="B1607" t="s">
        <v>76</v>
      </c>
      <c r="C1607" t="s">
        <v>793</v>
      </c>
      <c r="D1607">
        <v>2021</v>
      </c>
      <c r="E1607" t="s">
        <v>92</v>
      </c>
      <c r="F1607" t="s">
        <v>93</v>
      </c>
      <c r="M1607">
        <v>162</v>
      </c>
      <c r="N1607">
        <v>838</v>
      </c>
      <c r="O1607">
        <v>12</v>
      </c>
      <c r="P1607">
        <v>6</v>
      </c>
      <c r="Q1607">
        <v>0</v>
      </c>
      <c r="R1607">
        <v>53</v>
      </c>
      <c r="S1607">
        <v>0</v>
      </c>
      <c r="T1607">
        <v>0</v>
      </c>
      <c r="U1607">
        <v>1</v>
      </c>
      <c r="V1607">
        <v>2</v>
      </c>
      <c r="W1607">
        <v>2</v>
      </c>
      <c r="X1607">
        <v>1</v>
      </c>
      <c r="Z1607">
        <v>0</v>
      </c>
      <c r="AK1607">
        <v>1</v>
      </c>
      <c r="AL1607">
        <v>1</v>
      </c>
    </row>
    <row r="1608" spans="1:38" x14ac:dyDescent="0.3">
      <c r="A1608">
        <v>362631</v>
      </c>
      <c r="B1608" t="s">
        <v>76</v>
      </c>
      <c r="C1608" t="s">
        <v>793</v>
      </c>
      <c r="D1608">
        <v>2022</v>
      </c>
      <c r="E1608" t="s">
        <v>148</v>
      </c>
      <c r="F1608" t="s">
        <v>149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155</v>
      </c>
      <c r="N1608">
        <v>841</v>
      </c>
      <c r="O1608">
        <v>10</v>
      </c>
      <c r="P1608">
        <v>12</v>
      </c>
      <c r="Q1608">
        <v>1</v>
      </c>
      <c r="R1608">
        <v>58</v>
      </c>
      <c r="AK1608">
        <v>1</v>
      </c>
      <c r="AL1608">
        <v>1</v>
      </c>
    </row>
    <row r="1609" spans="1:38" x14ac:dyDescent="0.3">
      <c r="A1609">
        <v>362631</v>
      </c>
      <c r="B1609" t="s">
        <v>76</v>
      </c>
      <c r="C1609" t="s">
        <v>793</v>
      </c>
      <c r="D1609">
        <v>2023</v>
      </c>
      <c r="E1609" t="s">
        <v>148</v>
      </c>
      <c r="F1609" t="s">
        <v>149</v>
      </c>
      <c r="M1609">
        <v>152</v>
      </c>
      <c r="N1609">
        <v>817</v>
      </c>
      <c r="O1609">
        <v>5</v>
      </c>
      <c r="P1609">
        <v>30</v>
      </c>
      <c r="Q1609">
        <v>1</v>
      </c>
      <c r="R1609">
        <v>236</v>
      </c>
    </row>
    <row r="1610" spans="1:38" x14ac:dyDescent="0.3">
      <c r="A1610">
        <v>362631</v>
      </c>
      <c r="B1610" t="s">
        <v>76</v>
      </c>
      <c r="C1610" t="s">
        <v>793</v>
      </c>
      <c r="D1610">
        <v>2024</v>
      </c>
      <c r="E1610" t="s">
        <v>148</v>
      </c>
      <c r="F1610" t="s">
        <v>149</v>
      </c>
      <c r="M1610">
        <v>100</v>
      </c>
      <c r="N1610">
        <v>593</v>
      </c>
      <c r="O1610">
        <v>6</v>
      </c>
      <c r="P1610">
        <v>13</v>
      </c>
      <c r="Q1610">
        <v>0</v>
      </c>
      <c r="R1610">
        <v>64</v>
      </c>
      <c r="AA1610">
        <v>0</v>
      </c>
      <c r="AB1610">
        <v>0</v>
      </c>
      <c r="AC1610">
        <v>1</v>
      </c>
      <c r="AD1610">
        <v>0</v>
      </c>
      <c r="AE1610">
        <v>0</v>
      </c>
      <c r="AK1610">
        <v>1</v>
      </c>
      <c r="AL1610">
        <v>1</v>
      </c>
    </row>
    <row r="1611" spans="1:38" x14ac:dyDescent="0.3">
      <c r="A1611">
        <v>362658</v>
      </c>
      <c r="B1611" t="s">
        <v>142</v>
      </c>
      <c r="C1611" t="s">
        <v>794</v>
      </c>
      <c r="D1611">
        <v>2021</v>
      </c>
      <c r="E1611" t="s">
        <v>184</v>
      </c>
      <c r="F1611" t="s">
        <v>185</v>
      </c>
      <c r="P1611">
        <v>2</v>
      </c>
      <c r="Q1611">
        <v>0</v>
      </c>
      <c r="R1611">
        <v>24</v>
      </c>
      <c r="S1611">
        <v>0</v>
      </c>
      <c r="T1611">
        <v>0</v>
      </c>
      <c r="U1611">
        <v>0</v>
      </c>
      <c r="V1611">
        <v>1</v>
      </c>
      <c r="W1611">
        <v>1</v>
      </c>
      <c r="X1611">
        <v>0</v>
      </c>
      <c r="Z1611">
        <v>0</v>
      </c>
    </row>
    <row r="1612" spans="1:38" x14ac:dyDescent="0.3">
      <c r="A1612">
        <v>362658</v>
      </c>
      <c r="B1612" t="s">
        <v>142</v>
      </c>
      <c r="C1612" t="s">
        <v>794</v>
      </c>
      <c r="D1612">
        <v>2022</v>
      </c>
      <c r="E1612" t="s">
        <v>184</v>
      </c>
      <c r="F1612" t="s">
        <v>185</v>
      </c>
      <c r="P1612">
        <v>61</v>
      </c>
      <c r="Q1612">
        <v>6</v>
      </c>
      <c r="R1612">
        <v>969</v>
      </c>
    </row>
    <row r="1613" spans="1:38" x14ac:dyDescent="0.3">
      <c r="A1613">
        <v>362658</v>
      </c>
      <c r="B1613" t="s">
        <v>142</v>
      </c>
      <c r="C1613" t="s">
        <v>794</v>
      </c>
      <c r="D1613">
        <v>2023</v>
      </c>
      <c r="E1613" t="s">
        <v>184</v>
      </c>
      <c r="F1613" t="s">
        <v>185</v>
      </c>
      <c r="P1613">
        <v>7</v>
      </c>
      <c r="Q1613">
        <v>1</v>
      </c>
      <c r="R1613">
        <v>67</v>
      </c>
    </row>
    <row r="1614" spans="1:38" x14ac:dyDescent="0.3">
      <c r="A1614">
        <v>362658</v>
      </c>
      <c r="B1614" t="s">
        <v>142</v>
      </c>
      <c r="C1614" t="s">
        <v>794</v>
      </c>
      <c r="D1614">
        <v>2024</v>
      </c>
      <c r="E1614" t="s">
        <v>184</v>
      </c>
      <c r="F1614" t="s">
        <v>185</v>
      </c>
      <c r="M1614">
        <v>1</v>
      </c>
      <c r="N1614">
        <v>12</v>
      </c>
      <c r="O1614">
        <v>0</v>
      </c>
      <c r="P1614">
        <v>72</v>
      </c>
      <c r="Q1614">
        <v>7</v>
      </c>
      <c r="R1614">
        <v>922</v>
      </c>
    </row>
    <row r="1615" spans="1:38" x14ac:dyDescent="0.3">
      <c r="A1615">
        <v>362950</v>
      </c>
      <c r="B1615" t="s">
        <v>50</v>
      </c>
      <c r="C1615" t="s">
        <v>795</v>
      </c>
      <c r="D1615">
        <v>2021</v>
      </c>
      <c r="E1615" t="s">
        <v>148</v>
      </c>
      <c r="F1615" t="s">
        <v>149</v>
      </c>
      <c r="S1615">
        <v>3</v>
      </c>
      <c r="T1615">
        <v>0</v>
      </c>
      <c r="U1615">
        <v>0</v>
      </c>
      <c r="V1615">
        <v>15</v>
      </c>
      <c r="W1615">
        <v>23</v>
      </c>
      <c r="X1615">
        <v>2</v>
      </c>
      <c r="Y1615">
        <v>1</v>
      </c>
      <c r="Z1615">
        <v>0</v>
      </c>
    </row>
    <row r="1616" spans="1:38" x14ac:dyDescent="0.3">
      <c r="A1616">
        <v>362950</v>
      </c>
      <c r="B1616" t="s">
        <v>50</v>
      </c>
      <c r="C1616" t="s">
        <v>795</v>
      </c>
      <c r="D1616">
        <v>2022</v>
      </c>
      <c r="E1616" t="s">
        <v>148</v>
      </c>
      <c r="F1616" t="s">
        <v>149</v>
      </c>
      <c r="S1616">
        <v>7</v>
      </c>
      <c r="T1616">
        <v>1</v>
      </c>
      <c r="U1616">
        <v>0</v>
      </c>
      <c r="V1616">
        <v>20</v>
      </c>
      <c r="W1616">
        <v>27</v>
      </c>
      <c r="X1616">
        <v>1</v>
      </c>
      <c r="Y1616">
        <v>1</v>
      </c>
      <c r="Z1616">
        <v>0</v>
      </c>
      <c r="AF1616">
        <v>-5</v>
      </c>
      <c r="AG1616">
        <v>-5</v>
      </c>
      <c r="AH1616">
        <v>1</v>
      </c>
      <c r="AI1616">
        <v>0</v>
      </c>
      <c r="AJ1616">
        <v>-5</v>
      </c>
      <c r="AK1616">
        <v>1</v>
      </c>
      <c r="AL1616">
        <v>1</v>
      </c>
    </row>
    <row r="1617" spans="1:38" x14ac:dyDescent="0.3">
      <c r="A1617">
        <v>362950</v>
      </c>
      <c r="B1617" t="s">
        <v>50</v>
      </c>
      <c r="C1617" t="s">
        <v>795</v>
      </c>
      <c r="D1617">
        <v>2023</v>
      </c>
      <c r="E1617" t="s">
        <v>148</v>
      </c>
      <c r="F1617" t="s">
        <v>149</v>
      </c>
      <c r="S1617">
        <v>11</v>
      </c>
      <c r="T1617">
        <v>0</v>
      </c>
      <c r="U1617">
        <v>1</v>
      </c>
      <c r="V1617">
        <v>20</v>
      </c>
      <c r="W1617">
        <v>26</v>
      </c>
      <c r="X1617">
        <v>3</v>
      </c>
      <c r="Z1617">
        <v>0</v>
      </c>
      <c r="AA1617">
        <v>15</v>
      </c>
      <c r="AB1617">
        <v>20</v>
      </c>
      <c r="AC1617">
        <v>2</v>
      </c>
      <c r="AD1617">
        <v>0</v>
      </c>
      <c r="AE1617">
        <v>30</v>
      </c>
    </row>
    <row r="1618" spans="1:38" x14ac:dyDescent="0.3">
      <c r="A1618">
        <v>362950</v>
      </c>
      <c r="B1618" t="s">
        <v>50</v>
      </c>
      <c r="C1618" t="s">
        <v>795</v>
      </c>
      <c r="D1618">
        <v>2024</v>
      </c>
      <c r="E1618" t="s">
        <v>148</v>
      </c>
      <c r="F1618" t="s">
        <v>149</v>
      </c>
      <c r="S1618">
        <v>4</v>
      </c>
      <c r="T1618">
        <v>3</v>
      </c>
      <c r="U1618">
        <v>0</v>
      </c>
      <c r="V1618">
        <v>13</v>
      </c>
      <c r="W1618">
        <v>20</v>
      </c>
      <c r="X1618">
        <v>1.5</v>
      </c>
      <c r="Z1618">
        <v>0</v>
      </c>
    </row>
    <row r="1619" spans="1:38" x14ac:dyDescent="0.3">
      <c r="A1619">
        <v>362952</v>
      </c>
      <c r="B1619" t="s">
        <v>42</v>
      </c>
      <c r="C1619" t="s">
        <v>796</v>
      </c>
      <c r="D1619">
        <v>2021</v>
      </c>
      <c r="E1619" t="s">
        <v>148</v>
      </c>
      <c r="F1619" t="s">
        <v>149</v>
      </c>
      <c r="S1619">
        <v>0</v>
      </c>
      <c r="T1619">
        <v>0</v>
      </c>
      <c r="U1619">
        <v>0</v>
      </c>
      <c r="V1619">
        <v>6</v>
      </c>
      <c r="W1619">
        <v>10</v>
      </c>
      <c r="X1619">
        <v>0</v>
      </c>
      <c r="Z1619">
        <v>0</v>
      </c>
    </row>
    <row r="1620" spans="1:38" x14ac:dyDescent="0.3">
      <c r="A1620">
        <v>362952</v>
      </c>
      <c r="B1620" t="s">
        <v>42</v>
      </c>
      <c r="C1620" t="s">
        <v>796</v>
      </c>
      <c r="D1620">
        <v>2022</v>
      </c>
      <c r="E1620" t="s">
        <v>148</v>
      </c>
      <c r="F1620" t="s">
        <v>149</v>
      </c>
      <c r="S1620">
        <v>0</v>
      </c>
      <c r="T1620">
        <v>0</v>
      </c>
      <c r="U1620">
        <v>0</v>
      </c>
      <c r="V1620">
        <v>12</v>
      </c>
      <c r="W1620">
        <v>20</v>
      </c>
      <c r="X1620">
        <v>1</v>
      </c>
      <c r="Z1620">
        <v>0</v>
      </c>
    </row>
    <row r="1621" spans="1:38" x14ac:dyDescent="0.3">
      <c r="A1621">
        <v>362952</v>
      </c>
      <c r="B1621" t="s">
        <v>42</v>
      </c>
      <c r="C1621" t="s">
        <v>796</v>
      </c>
      <c r="D1621">
        <v>2023</v>
      </c>
      <c r="E1621" t="s">
        <v>494</v>
      </c>
      <c r="F1621" t="s">
        <v>495</v>
      </c>
      <c r="S1621">
        <v>1</v>
      </c>
      <c r="T1621">
        <v>0</v>
      </c>
      <c r="U1621">
        <v>0</v>
      </c>
      <c r="V1621">
        <v>54</v>
      </c>
      <c r="W1621">
        <v>105</v>
      </c>
      <c r="X1621">
        <v>0.5</v>
      </c>
      <c r="Z1621">
        <v>0</v>
      </c>
    </row>
    <row r="1622" spans="1:38" x14ac:dyDescent="0.3">
      <c r="A1622">
        <v>362952</v>
      </c>
      <c r="B1622" t="s">
        <v>42</v>
      </c>
      <c r="C1622" t="s">
        <v>796</v>
      </c>
      <c r="D1622">
        <v>2024</v>
      </c>
      <c r="E1622" t="s">
        <v>494</v>
      </c>
      <c r="F1622" t="s">
        <v>495</v>
      </c>
      <c r="S1622">
        <v>7</v>
      </c>
      <c r="T1622">
        <v>0</v>
      </c>
      <c r="U1622">
        <v>0</v>
      </c>
      <c r="V1622">
        <v>55</v>
      </c>
      <c r="W1622">
        <v>115</v>
      </c>
      <c r="X1622">
        <v>1</v>
      </c>
      <c r="Y1622">
        <v>1</v>
      </c>
      <c r="Z1622">
        <v>0</v>
      </c>
    </row>
    <row r="1623" spans="1:38" x14ac:dyDescent="0.3">
      <c r="A1623">
        <v>362959</v>
      </c>
      <c r="B1623" t="s">
        <v>76</v>
      </c>
      <c r="C1623" t="s">
        <v>797</v>
      </c>
      <c r="D1623">
        <v>2021</v>
      </c>
      <c r="E1623" t="s">
        <v>798</v>
      </c>
      <c r="F1623" t="s">
        <v>799</v>
      </c>
      <c r="M1623">
        <v>8</v>
      </c>
      <c r="N1623">
        <v>6</v>
      </c>
      <c r="O1623">
        <v>0</v>
      </c>
      <c r="AK1623">
        <v>2</v>
      </c>
      <c r="AL1623">
        <v>2</v>
      </c>
    </row>
    <row r="1624" spans="1:38" x14ac:dyDescent="0.3">
      <c r="A1624">
        <v>362959</v>
      </c>
      <c r="B1624" t="s">
        <v>76</v>
      </c>
      <c r="C1624" t="s">
        <v>797</v>
      </c>
      <c r="D1624">
        <v>2022</v>
      </c>
      <c r="E1624" t="s">
        <v>798</v>
      </c>
      <c r="F1624" t="s">
        <v>799</v>
      </c>
      <c r="M1624">
        <v>206</v>
      </c>
      <c r="N1624">
        <v>1722</v>
      </c>
      <c r="O1624">
        <v>13</v>
      </c>
      <c r="P1624">
        <v>2</v>
      </c>
      <c r="Q1624">
        <v>0</v>
      </c>
      <c r="R1624">
        <v>27</v>
      </c>
    </row>
    <row r="1625" spans="1:38" x14ac:dyDescent="0.3">
      <c r="A1625">
        <v>362959</v>
      </c>
      <c r="B1625" t="s">
        <v>76</v>
      </c>
      <c r="C1625" t="s">
        <v>797</v>
      </c>
      <c r="D1625">
        <v>2023</v>
      </c>
      <c r="E1625" t="s">
        <v>798</v>
      </c>
      <c r="F1625" t="s">
        <v>799</v>
      </c>
      <c r="M1625">
        <v>208</v>
      </c>
      <c r="N1625">
        <v>1419</v>
      </c>
      <c r="O1625">
        <v>10</v>
      </c>
      <c r="P1625">
        <v>18</v>
      </c>
      <c r="Q1625">
        <v>1</v>
      </c>
      <c r="R1625">
        <v>118</v>
      </c>
      <c r="AK1625">
        <v>1</v>
      </c>
      <c r="AL1625">
        <v>1</v>
      </c>
    </row>
    <row r="1626" spans="1:38" x14ac:dyDescent="0.3">
      <c r="A1626">
        <v>362995</v>
      </c>
      <c r="B1626" t="s">
        <v>142</v>
      </c>
      <c r="C1626" t="s">
        <v>800</v>
      </c>
      <c r="D1626">
        <v>2021</v>
      </c>
      <c r="E1626" t="s">
        <v>232</v>
      </c>
      <c r="F1626" t="s">
        <v>233</v>
      </c>
      <c r="P1626">
        <v>2</v>
      </c>
      <c r="Q1626">
        <v>0</v>
      </c>
      <c r="R1626">
        <v>21</v>
      </c>
    </row>
    <row r="1627" spans="1:38" x14ac:dyDescent="0.3">
      <c r="A1627">
        <v>362995</v>
      </c>
      <c r="B1627" t="s">
        <v>142</v>
      </c>
      <c r="C1627" t="s">
        <v>800</v>
      </c>
      <c r="D1627">
        <v>2022</v>
      </c>
      <c r="E1627" t="s">
        <v>232</v>
      </c>
      <c r="F1627" t="s">
        <v>233</v>
      </c>
      <c r="M1627">
        <v>7</v>
      </c>
      <c r="N1627">
        <v>11</v>
      </c>
      <c r="O1627">
        <v>1</v>
      </c>
      <c r="P1627">
        <v>3</v>
      </c>
      <c r="Q1627">
        <v>1</v>
      </c>
      <c r="R1627">
        <v>39</v>
      </c>
    </row>
    <row r="1628" spans="1:38" x14ac:dyDescent="0.3">
      <c r="A1628">
        <v>362995</v>
      </c>
      <c r="B1628" t="s">
        <v>142</v>
      </c>
      <c r="C1628" t="s">
        <v>800</v>
      </c>
      <c r="D1628">
        <v>2023</v>
      </c>
      <c r="E1628" t="s">
        <v>232</v>
      </c>
      <c r="F1628" t="s">
        <v>233</v>
      </c>
      <c r="M1628">
        <v>1</v>
      </c>
      <c r="N1628">
        <v>2</v>
      </c>
      <c r="O1628">
        <v>0</v>
      </c>
      <c r="P1628">
        <v>29</v>
      </c>
      <c r="Q1628">
        <v>1</v>
      </c>
      <c r="R1628">
        <v>422</v>
      </c>
      <c r="S1628">
        <v>0</v>
      </c>
      <c r="T1628">
        <v>0</v>
      </c>
      <c r="U1628">
        <v>0</v>
      </c>
      <c r="V1628">
        <v>1</v>
      </c>
      <c r="W1628">
        <v>1</v>
      </c>
      <c r="X1628">
        <v>0</v>
      </c>
      <c r="Z1628">
        <v>0</v>
      </c>
    </row>
    <row r="1629" spans="1:38" x14ac:dyDescent="0.3">
      <c r="A1629">
        <v>362995</v>
      </c>
      <c r="B1629" t="s">
        <v>142</v>
      </c>
      <c r="C1629" t="s">
        <v>800</v>
      </c>
      <c r="D1629">
        <v>2024</v>
      </c>
      <c r="E1629" t="s">
        <v>232</v>
      </c>
      <c r="F1629" t="s">
        <v>233</v>
      </c>
      <c r="P1629">
        <v>43</v>
      </c>
      <c r="Q1629">
        <v>3</v>
      </c>
      <c r="R1629">
        <v>421</v>
      </c>
      <c r="AK1629">
        <v>1</v>
      </c>
      <c r="AL1629">
        <v>0</v>
      </c>
    </row>
    <row r="1630" spans="1:38" x14ac:dyDescent="0.3">
      <c r="A1630">
        <v>363147</v>
      </c>
      <c r="B1630" t="s">
        <v>50</v>
      </c>
      <c r="C1630" t="s">
        <v>801</v>
      </c>
      <c r="D1630">
        <v>2021</v>
      </c>
      <c r="E1630" t="s">
        <v>265</v>
      </c>
      <c r="F1630" t="s">
        <v>266</v>
      </c>
      <c r="S1630">
        <v>1</v>
      </c>
      <c r="T1630">
        <v>0</v>
      </c>
      <c r="U1630">
        <v>0</v>
      </c>
      <c r="V1630">
        <v>19</v>
      </c>
      <c r="W1630">
        <v>22</v>
      </c>
      <c r="X1630">
        <v>1</v>
      </c>
      <c r="Y1630">
        <v>2</v>
      </c>
      <c r="Z1630">
        <v>1</v>
      </c>
    </row>
    <row r="1631" spans="1:38" x14ac:dyDescent="0.3">
      <c r="A1631">
        <v>363147</v>
      </c>
      <c r="B1631" t="s">
        <v>50</v>
      </c>
      <c r="C1631" t="s">
        <v>801</v>
      </c>
      <c r="D1631">
        <v>2023</v>
      </c>
      <c r="E1631" t="s">
        <v>265</v>
      </c>
      <c r="F1631" t="s">
        <v>266</v>
      </c>
      <c r="S1631">
        <v>5</v>
      </c>
      <c r="T1631">
        <v>0</v>
      </c>
      <c r="U1631">
        <v>1</v>
      </c>
      <c r="V1631">
        <v>30</v>
      </c>
      <c r="W1631">
        <v>32</v>
      </c>
      <c r="X1631">
        <v>5</v>
      </c>
      <c r="Y1631">
        <v>4</v>
      </c>
      <c r="Z1631">
        <v>0</v>
      </c>
      <c r="AK1631">
        <v>0</v>
      </c>
      <c r="AL1631">
        <v>0</v>
      </c>
    </row>
    <row r="1632" spans="1:38" x14ac:dyDescent="0.3">
      <c r="A1632">
        <v>363147</v>
      </c>
      <c r="B1632" t="s">
        <v>50</v>
      </c>
      <c r="C1632" t="s">
        <v>801</v>
      </c>
      <c r="D1632">
        <v>2024</v>
      </c>
      <c r="E1632" t="s">
        <v>265</v>
      </c>
      <c r="F1632" t="s">
        <v>266</v>
      </c>
      <c r="S1632">
        <v>7</v>
      </c>
      <c r="T1632">
        <v>0</v>
      </c>
      <c r="U1632">
        <v>0.5</v>
      </c>
      <c r="V1632">
        <v>26</v>
      </c>
      <c r="W1632">
        <v>37</v>
      </c>
      <c r="X1632">
        <v>3.5</v>
      </c>
      <c r="Y1632">
        <v>4</v>
      </c>
      <c r="Z1632">
        <v>0</v>
      </c>
    </row>
    <row r="1633" spans="1:38" x14ac:dyDescent="0.3">
      <c r="A1633">
        <v>363400</v>
      </c>
      <c r="B1633" t="s">
        <v>50</v>
      </c>
      <c r="C1633" t="s">
        <v>802</v>
      </c>
      <c r="D1633">
        <v>2021</v>
      </c>
      <c r="E1633" t="s">
        <v>803</v>
      </c>
      <c r="F1633" t="s">
        <v>804</v>
      </c>
      <c r="S1633">
        <v>0</v>
      </c>
      <c r="T1633">
        <v>0</v>
      </c>
      <c r="U1633">
        <v>0</v>
      </c>
      <c r="V1633">
        <v>3</v>
      </c>
      <c r="W1633">
        <v>4</v>
      </c>
      <c r="X1633">
        <v>0</v>
      </c>
      <c r="Z1633">
        <v>0</v>
      </c>
    </row>
    <row r="1634" spans="1:38" x14ac:dyDescent="0.3">
      <c r="A1634">
        <v>363400</v>
      </c>
      <c r="B1634" t="s">
        <v>50</v>
      </c>
      <c r="C1634" t="s">
        <v>802</v>
      </c>
      <c r="D1634">
        <v>2022</v>
      </c>
      <c r="E1634" t="s">
        <v>803</v>
      </c>
      <c r="F1634" t="s">
        <v>804</v>
      </c>
      <c r="S1634">
        <v>0</v>
      </c>
      <c r="T1634">
        <v>0</v>
      </c>
      <c r="U1634">
        <v>0</v>
      </c>
      <c r="V1634">
        <v>5</v>
      </c>
      <c r="W1634">
        <v>5</v>
      </c>
      <c r="X1634">
        <v>0</v>
      </c>
      <c r="Y1634">
        <v>1</v>
      </c>
      <c r="Z1634">
        <v>0</v>
      </c>
    </row>
    <row r="1635" spans="1:38" x14ac:dyDescent="0.3">
      <c r="A1635">
        <v>363400</v>
      </c>
      <c r="B1635" t="s">
        <v>50</v>
      </c>
      <c r="C1635" t="s">
        <v>802</v>
      </c>
      <c r="D1635">
        <v>2023</v>
      </c>
      <c r="E1635" t="s">
        <v>803</v>
      </c>
      <c r="F1635" t="s">
        <v>804</v>
      </c>
      <c r="S1635">
        <v>2</v>
      </c>
      <c r="T1635">
        <v>0</v>
      </c>
      <c r="U1635">
        <v>0</v>
      </c>
      <c r="V1635">
        <v>2</v>
      </c>
      <c r="W1635">
        <v>2</v>
      </c>
      <c r="X1635">
        <v>0</v>
      </c>
      <c r="Y1635">
        <v>3</v>
      </c>
      <c r="Z1635">
        <v>0</v>
      </c>
      <c r="AF1635">
        <v>4.5</v>
      </c>
      <c r="AG1635">
        <v>15</v>
      </c>
      <c r="AH1635">
        <v>13</v>
      </c>
      <c r="AI1635">
        <v>0</v>
      </c>
      <c r="AJ1635">
        <v>59</v>
      </c>
      <c r="AK1635">
        <v>1</v>
      </c>
      <c r="AL1635">
        <v>0</v>
      </c>
    </row>
    <row r="1636" spans="1:38" x14ac:dyDescent="0.3">
      <c r="A1636">
        <v>363400</v>
      </c>
      <c r="B1636" t="s">
        <v>50</v>
      </c>
      <c r="C1636" t="s">
        <v>802</v>
      </c>
      <c r="D1636">
        <v>2024</v>
      </c>
      <c r="E1636" t="s">
        <v>52</v>
      </c>
      <c r="F1636" t="s">
        <v>53</v>
      </c>
      <c r="S1636">
        <v>9</v>
      </c>
      <c r="T1636">
        <v>0</v>
      </c>
      <c r="U1636">
        <v>0</v>
      </c>
      <c r="V1636">
        <v>29</v>
      </c>
      <c r="W1636">
        <v>42</v>
      </c>
      <c r="X1636">
        <v>3</v>
      </c>
      <c r="Y1636">
        <v>3</v>
      </c>
      <c r="Z1636">
        <v>0</v>
      </c>
      <c r="AK1636">
        <v>0</v>
      </c>
      <c r="AL1636">
        <v>0</v>
      </c>
    </row>
    <row r="1637" spans="1:38" x14ac:dyDescent="0.3">
      <c r="A1637">
        <v>364245</v>
      </c>
      <c r="B1637" t="s">
        <v>50</v>
      </c>
      <c r="C1637" t="s">
        <v>805</v>
      </c>
      <c r="D1637">
        <v>2021</v>
      </c>
      <c r="E1637" t="s">
        <v>806</v>
      </c>
      <c r="F1637" t="s">
        <v>807</v>
      </c>
      <c r="S1637">
        <v>1</v>
      </c>
      <c r="T1637">
        <v>0</v>
      </c>
      <c r="U1637">
        <v>0</v>
      </c>
      <c r="V1637">
        <v>7</v>
      </c>
      <c r="W1637">
        <v>11</v>
      </c>
      <c r="X1637">
        <v>0</v>
      </c>
      <c r="Z1637">
        <v>0</v>
      </c>
      <c r="AK1637">
        <v>0</v>
      </c>
      <c r="AL1637">
        <v>0</v>
      </c>
    </row>
    <row r="1638" spans="1:38" x14ac:dyDescent="0.3">
      <c r="A1638">
        <v>364245</v>
      </c>
      <c r="B1638" t="s">
        <v>50</v>
      </c>
      <c r="C1638" t="s">
        <v>805</v>
      </c>
      <c r="D1638">
        <v>2022</v>
      </c>
      <c r="E1638" t="s">
        <v>806</v>
      </c>
      <c r="F1638" t="s">
        <v>807</v>
      </c>
      <c r="S1638">
        <v>4</v>
      </c>
      <c r="T1638">
        <v>0</v>
      </c>
      <c r="U1638">
        <v>0</v>
      </c>
      <c r="V1638">
        <v>10</v>
      </c>
      <c r="W1638">
        <v>15</v>
      </c>
      <c r="X1638">
        <v>0</v>
      </c>
      <c r="Y1638">
        <v>3</v>
      </c>
      <c r="Z1638">
        <v>0</v>
      </c>
      <c r="AK1638">
        <v>0</v>
      </c>
      <c r="AL1638">
        <v>0</v>
      </c>
    </row>
    <row r="1639" spans="1:38" x14ac:dyDescent="0.3">
      <c r="A1639">
        <v>364245</v>
      </c>
      <c r="B1639" t="s">
        <v>50</v>
      </c>
      <c r="C1639" t="s">
        <v>805</v>
      </c>
      <c r="D1639">
        <v>2023</v>
      </c>
      <c r="E1639" t="s">
        <v>271</v>
      </c>
      <c r="F1639" t="s">
        <v>272</v>
      </c>
      <c r="S1639">
        <v>6</v>
      </c>
      <c r="T1639">
        <v>4</v>
      </c>
      <c r="U1639">
        <v>1</v>
      </c>
      <c r="V1639">
        <v>54</v>
      </c>
      <c r="W1639">
        <v>73</v>
      </c>
      <c r="X1639">
        <v>1.5</v>
      </c>
      <c r="Y1639">
        <v>1</v>
      </c>
      <c r="Z1639">
        <v>0</v>
      </c>
      <c r="AK1639">
        <v>0</v>
      </c>
      <c r="AL1639">
        <v>0</v>
      </c>
    </row>
    <row r="1640" spans="1:38" x14ac:dyDescent="0.3">
      <c r="A1640">
        <v>364245</v>
      </c>
      <c r="B1640" t="s">
        <v>50</v>
      </c>
      <c r="C1640" t="s">
        <v>805</v>
      </c>
      <c r="D1640">
        <v>2024</v>
      </c>
      <c r="E1640" t="s">
        <v>271</v>
      </c>
      <c r="F1640" t="s">
        <v>272</v>
      </c>
      <c r="S1640">
        <v>4</v>
      </c>
      <c r="T1640">
        <v>4</v>
      </c>
      <c r="U1640">
        <v>0</v>
      </c>
      <c r="V1640">
        <v>39</v>
      </c>
      <c r="W1640">
        <v>72</v>
      </c>
      <c r="X1640">
        <v>9</v>
      </c>
      <c r="Y1640">
        <v>1</v>
      </c>
      <c r="Z1640">
        <v>0</v>
      </c>
    </row>
    <row r="1641" spans="1:38" x14ac:dyDescent="0.3">
      <c r="A1641">
        <v>365112</v>
      </c>
      <c r="B1641" t="s">
        <v>76</v>
      </c>
      <c r="C1641" t="s">
        <v>808</v>
      </c>
      <c r="D1641">
        <v>2024</v>
      </c>
      <c r="E1641" t="s">
        <v>809</v>
      </c>
      <c r="F1641" t="s">
        <v>810</v>
      </c>
      <c r="M1641">
        <v>279</v>
      </c>
      <c r="N1641">
        <v>1636</v>
      </c>
      <c r="O1641">
        <v>25</v>
      </c>
      <c r="P1641">
        <v>17</v>
      </c>
      <c r="Q1641">
        <v>1</v>
      </c>
      <c r="R1641">
        <v>233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Z1641">
        <v>0</v>
      </c>
      <c r="AK1641">
        <v>5</v>
      </c>
      <c r="AL1641">
        <v>3</v>
      </c>
    </row>
    <row r="1642" spans="1:38" x14ac:dyDescent="0.3">
      <c r="A1642">
        <v>367025</v>
      </c>
      <c r="B1642" t="s">
        <v>76</v>
      </c>
      <c r="C1642" t="s">
        <v>811</v>
      </c>
      <c r="D1642">
        <v>2021</v>
      </c>
      <c r="E1642" t="s">
        <v>56</v>
      </c>
      <c r="F1642" t="s">
        <v>57</v>
      </c>
      <c r="M1642">
        <v>68</v>
      </c>
      <c r="N1642">
        <v>292</v>
      </c>
      <c r="O1642">
        <v>3</v>
      </c>
      <c r="P1642">
        <v>6</v>
      </c>
      <c r="Q1642">
        <v>0</v>
      </c>
      <c r="R1642">
        <v>38</v>
      </c>
    </row>
    <row r="1643" spans="1:38" x14ac:dyDescent="0.3">
      <c r="A1643">
        <v>367025</v>
      </c>
      <c r="B1643" t="s">
        <v>76</v>
      </c>
      <c r="C1643" t="s">
        <v>811</v>
      </c>
      <c r="D1643">
        <v>2022</v>
      </c>
      <c r="E1643" t="s">
        <v>56</v>
      </c>
      <c r="F1643" t="s">
        <v>57</v>
      </c>
      <c r="G1643">
        <v>1</v>
      </c>
      <c r="H1643">
        <v>1</v>
      </c>
      <c r="I1643">
        <v>19</v>
      </c>
      <c r="J1643">
        <v>1</v>
      </c>
      <c r="K1643">
        <v>0</v>
      </c>
      <c r="L1643">
        <v>0</v>
      </c>
      <c r="M1643">
        <v>98</v>
      </c>
      <c r="N1643">
        <v>515</v>
      </c>
      <c r="O1643">
        <v>4</v>
      </c>
      <c r="P1643">
        <v>9</v>
      </c>
      <c r="Q1643">
        <v>0</v>
      </c>
      <c r="R1643">
        <v>48</v>
      </c>
      <c r="AA1643">
        <v>15.3</v>
      </c>
      <c r="AB1643">
        <v>19</v>
      </c>
      <c r="AC1643">
        <v>3</v>
      </c>
      <c r="AD1643">
        <v>0</v>
      </c>
      <c r="AE1643">
        <v>46</v>
      </c>
      <c r="AK1643">
        <v>1</v>
      </c>
      <c r="AL1643">
        <v>1</v>
      </c>
    </row>
    <row r="1644" spans="1:38" x14ac:dyDescent="0.3">
      <c r="A1644">
        <v>367025</v>
      </c>
      <c r="B1644" t="s">
        <v>76</v>
      </c>
      <c r="C1644" t="s">
        <v>811</v>
      </c>
      <c r="D1644">
        <v>2023</v>
      </c>
      <c r="E1644" t="s">
        <v>56</v>
      </c>
      <c r="F1644" t="s">
        <v>57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179</v>
      </c>
      <c r="N1644">
        <v>965</v>
      </c>
      <c r="O1644">
        <v>13</v>
      </c>
      <c r="P1644">
        <v>21</v>
      </c>
      <c r="Q1644">
        <v>0</v>
      </c>
      <c r="R1644">
        <v>108</v>
      </c>
      <c r="AK1644">
        <v>3</v>
      </c>
      <c r="AL1644">
        <v>1</v>
      </c>
    </row>
    <row r="1645" spans="1:38" x14ac:dyDescent="0.3">
      <c r="A1645">
        <v>367025</v>
      </c>
      <c r="B1645" t="s">
        <v>76</v>
      </c>
      <c r="C1645" t="s">
        <v>811</v>
      </c>
      <c r="D1645">
        <v>2024</v>
      </c>
      <c r="E1645" t="s">
        <v>56</v>
      </c>
      <c r="F1645" t="s">
        <v>57</v>
      </c>
      <c r="M1645">
        <v>216</v>
      </c>
      <c r="N1645">
        <v>1115</v>
      </c>
      <c r="O1645">
        <v>8</v>
      </c>
      <c r="P1645">
        <v>21</v>
      </c>
      <c r="Q1645">
        <v>0</v>
      </c>
      <c r="R1645">
        <v>103</v>
      </c>
      <c r="AA1645">
        <v>19</v>
      </c>
      <c r="AB1645">
        <v>19</v>
      </c>
      <c r="AC1645">
        <v>1</v>
      </c>
      <c r="AD1645">
        <v>0</v>
      </c>
      <c r="AE1645">
        <v>19</v>
      </c>
      <c r="AK1645">
        <v>2</v>
      </c>
      <c r="AL1645">
        <v>1</v>
      </c>
    </row>
    <row r="1646" spans="1:38" x14ac:dyDescent="0.3">
      <c r="A1646">
        <v>367710</v>
      </c>
      <c r="B1646" t="s">
        <v>84</v>
      </c>
      <c r="C1646" t="s">
        <v>812</v>
      </c>
      <c r="D1646">
        <v>2021</v>
      </c>
      <c r="E1646" t="s">
        <v>458</v>
      </c>
      <c r="F1646" t="s">
        <v>459</v>
      </c>
      <c r="S1646">
        <v>0</v>
      </c>
      <c r="T1646">
        <v>0</v>
      </c>
      <c r="U1646">
        <v>0</v>
      </c>
      <c r="V1646">
        <v>2</v>
      </c>
      <c r="W1646">
        <v>4</v>
      </c>
      <c r="X1646">
        <v>0</v>
      </c>
      <c r="Z1646">
        <v>0</v>
      </c>
    </row>
    <row r="1647" spans="1:38" x14ac:dyDescent="0.3">
      <c r="A1647">
        <v>367710</v>
      </c>
      <c r="B1647" t="s">
        <v>84</v>
      </c>
      <c r="C1647" t="s">
        <v>812</v>
      </c>
      <c r="D1647">
        <v>2022</v>
      </c>
      <c r="E1647" t="s">
        <v>458</v>
      </c>
      <c r="F1647" t="s">
        <v>459</v>
      </c>
      <c r="S1647">
        <v>1</v>
      </c>
      <c r="T1647">
        <v>5</v>
      </c>
      <c r="U1647">
        <v>3.5</v>
      </c>
      <c r="V1647">
        <v>52</v>
      </c>
      <c r="W1647">
        <v>88</v>
      </c>
      <c r="X1647">
        <v>11.5</v>
      </c>
      <c r="Y1647">
        <v>1</v>
      </c>
      <c r="Z1647">
        <v>0</v>
      </c>
    </row>
    <row r="1648" spans="1:38" x14ac:dyDescent="0.3">
      <c r="A1648">
        <v>367710</v>
      </c>
      <c r="B1648" t="s">
        <v>84</v>
      </c>
      <c r="C1648" t="s">
        <v>812</v>
      </c>
      <c r="D1648">
        <v>2023</v>
      </c>
      <c r="E1648" t="s">
        <v>458</v>
      </c>
      <c r="F1648" t="s">
        <v>459</v>
      </c>
      <c r="S1648">
        <v>1</v>
      </c>
      <c r="T1648">
        <v>5</v>
      </c>
      <c r="U1648">
        <v>3</v>
      </c>
      <c r="V1648">
        <v>30</v>
      </c>
      <c r="W1648">
        <v>59</v>
      </c>
      <c r="X1648">
        <v>8.5</v>
      </c>
      <c r="Z1648">
        <v>0</v>
      </c>
      <c r="AK1648">
        <v>0</v>
      </c>
      <c r="AL1648">
        <v>0</v>
      </c>
    </row>
    <row r="1649" spans="1:38" x14ac:dyDescent="0.3">
      <c r="A1649">
        <v>367815</v>
      </c>
      <c r="B1649" t="s">
        <v>76</v>
      </c>
      <c r="C1649" t="s">
        <v>813</v>
      </c>
      <c r="D1649">
        <v>2021</v>
      </c>
      <c r="E1649" t="s">
        <v>105</v>
      </c>
      <c r="F1649" t="s">
        <v>106</v>
      </c>
      <c r="M1649">
        <v>79</v>
      </c>
      <c r="N1649">
        <v>324</v>
      </c>
      <c r="O1649">
        <v>2</v>
      </c>
      <c r="P1649">
        <v>2</v>
      </c>
      <c r="Q1649">
        <v>0</v>
      </c>
      <c r="R1649">
        <v>10</v>
      </c>
      <c r="AA1649">
        <v>18</v>
      </c>
      <c r="AB1649">
        <v>27</v>
      </c>
      <c r="AC1649">
        <v>2</v>
      </c>
      <c r="AD1649">
        <v>0</v>
      </c>
      <c r="AE1649">
        <v>36</v>
      </c>
    </row>
    <row r="1650" spans="1:38" x14ac:dyDescent="0.3">
      <c r="A1650">
        <v>367815</v>
      </c>
      <c r="B1650" t="s">
        <v>76</v>
      </c>
      <c r="C1650" t="s">
        <v>813</v>
      </c>
      <c r="D1650">
        <v>2022</v>
      </c>
      <c r="E1650" t="s">
        <v>373</v>
      </c>
      <c r="F1650" t="s">
        <v>374</v>
      </c>
      <c r="M1650">
        <v>81</v>
      </c>
      <c r="N1650">
        <v>362</v>
      </c>
      <c r="O1650">
        <v>5</v>
      </c>
      <c r="P1650">
        <v>2</v>
      </c>
      <c r="Q1650">
        <v>0</v>
      </c>
      <c r="R1650">
        <v>2</v>
      </c>
      <c r="AK1650">
        <v>1</v>
      </c>
      <c r="AL1650">
        <v>0</v>
      </c>
    </row>
    <row r="1651" spans="1:38" x14ac:dyDescent="0.3">
      <c r="A1651">
        <v>367815</v>
      </c>
      <c r="B1651" t="s">
        <v>76</v>
      </c>
      <c r="C1651" t="s">
        <v>813</v>
      </c>
      <c r="D1651">
        <v>2023</v>
      </c>
      <c r="E1651" t="s">
        <v>373</v>
      </c>
      <c r="F1651" t="s">
        <v>374</v>
      </c>
      <c r="M1651">
        <v>192</v>
      </c>
      <c r="N1651">
        <v>1047</v>
      </c>
      <c r="O1651">
        <v>5</v>
      </c>
      <c r="P1651">
        <v>12</v>
      </c>
      <c r="Q1651">
        <v>0</v>
      </c>
      <c r="R1651">
        <v>49</v>
      </c>
      <c r="AK1651">
        <v>1</v>
      </c>
      <c r="AL1651">
        <v>0</v>
      </c>
    </row>
    <row r="1652" spans="1:38" x14ac:dyDescent="0.3">
      <c r="A1652">
        <v>367815</v>
      </c>
      <c r="B1652" t="s">
        <v>76</v>
      </c>
      <c r="C1652" t="s">
        <v>813</v>
      </c>
      <c r="D1652">
        <v>2024</v>
      </c>
      <c r="E1652" t="s">
        <v>373</v>
      </c>
      <c r="F1652" t="s">
        <v>374</v>
      </c>
      <c r="M1652">
        <v>204</v>
      </c>
      <c r="N1652">
        <v>1153</v>
      </c>
      <c r="O1652">
        <v>4</v>
      </c>
      <c r="P1652">
        <v>15</v>
      </c>
      <c r="Q1652">
        <v>0</v>
      </c>
      <c r="R1652">
        <v>105</v>
      </c>
      <c r="AK1652">
        <v>3</v>
      </c>
      <c r="AL1652">
        <v>2</v>
      </c>
    </row>
    <row r="1653" spans="1:38" x14ac:dyDescent="0.3">
      <c r="A1653">
        <v>368200</v>
      </c>
      <c r="B1653" t="s">
        <v>84</v>
      </c>
      <c r="C1653" t="s">
        <v>814</v>
      </c>
      <c r="D1653">
        <v>2021</v>
      </c>
      <c r="E1653" t="s">
        <v>306</v>
      </c>
      <c r="F1653" t="s">
        <v>307</v>
      </c>
      <c r="S1653">
        <v>0</v>
      </c>
      <c r="T1653">
        <v>2</v>
      </c>
      <c r="U1653">
        <v>1</v>
      </c>
      <c r="V1653">
        <v>48</v>
      </c>
      <c r="W1653">
        <v>69</v>
      </c>
      <c r="X1653">
        <v>2</v>
      </c>
      <c r="Y1653">
        <v>1</v>
      </c>
      <c r="Z1653">
        <v>0</v>
      </c>
    </row>
    <row r="1654" spans="1:38" x14ac:dyDescent="0.3">
      <c r="A1654">
        <v>368200</v>
      </c>
      <c r="B1654" t="s">
        <v>84</v>
      </c>
      <c r="C1654" t="s">
        <v>814</v>
      </c>
      <c r="D1654">
        <v>2022</v>
      </c>
      <c r="E1654" t="s">
        <v>306</v>
      </c>
      <c r="F1654" t="s">
        <v>307</v>
      </c>
      <c r="S1654">
        <v>1</v>
      </c>
      <c r="T1654">
        <v>1</v>
      </c>
      <c r="U1654">
        <v>0</v>
      </c>
      <c r="V1654">
        <v>27</v>
      </c>
      <c r="W1654">
        <v>42</v>
      </c>
      <c r="X1654">
        <v>3.5</v>
      </c>
      <c r="Z1654">
        <v>0</v>
      </c>
    </row>
    <row r="1655" spans="1:38" x14ac:dyDescent="0.3">
      <c r="A1655">
        <v>368200</v>
      </c>
      <c r="B1655" t="s">
        <v>84</v>
      </c>
      <c r="C1655" t="s">
        <v>814</v>
      </c>
      <c r="D1655">
        <v>2023</v>
      </c>
      <c r="E1655" t="s">
        <v>306</v>
      </c>
      <c r="F1655" t="s">
        <v>307</v>
      </c>
      <c r="S1655">
        <v>3</v>
      </c>
      <c r="T1655">
        <v>1</v>
      </c>
      <c r="U1655">
        <v>0</v>
      </c>
      <c r="V1655">
        <v>40</v>
      </c>
      <c r="W1655">
        <v>80</v>
      </c>
      <c r="X1655">
        <v>1.5</v>
      </c>
      <c r="Y1655">
        <v>1</v>
      </c>
      <c r="Z1655">
        <v>0</v>
      </c>
    </row>
    <row r="1656" spans="1:38" x14ac:dyDescent="0.3">
      <c r="A1656">
        <v>368200</v>
      </c>
      <c r="B1656" t="s">
        <v>84</v>
      </c>
      <c r="C1656" t="s">
        <v>814</v>
      </c>
      <c r="D1656">
        <v>2024</v>
      </c>
      <c r="E1656" t="s">
        <v>306</v>
      </c>
      <c r="F1656" t="s">
        <v>307</v>
      </c>
      <c r="S1656">
        <v>5</v>
      </c>
      <c r="T1656">
        <v>3</v>
      </c>
      <c r="U1656">
        <v>0</v>
      </c>
      <c r="V1656">
        <v>60</v>
      </c>
      <c r="W1656">
        <v>104</v>
      </c>
      <c r="X1656">
        <v>2</v>
      </c>
      <c r="Y1656">
        <v>3</v>
      </c>
      <c r="Z1656">
        <v>0</v>
      </c>
    </row>
    <row r="1657" spans="1:38" x14ac:dyDescent="0.3">
      <c r="A1657">
        <v>368279</v>
      </c>
      <c r="B1657" t="s">
        <v>100</v>
      </c>
      <c r="C1657" t="s">
        <v>815</v>
      </c>
      <c r="D1657">
        <v>2021</v>
      </c>
      <c r="E1657" t="s">
        <v>373</v>
      </c>
      <c r="F1657" t="s">
        <v>374</v>
      </c>
      <c r="AK1657">
        <v>0</v>
      </c>
      <c r="AL1657">
        <v>0</v>
      </c>
    </row>
    <row r="1658" spans="1:38" x14ac:dyDescent="0.3">
      <c r="A1658">
        <v>368279</v>
      </c>
      <c r="B1658" t="s">
        <v>100</v>
      </c>
      <c r="C1658" t="s">
        <v>815</v>
      </c>
      <c r="D1658">
        <v>2022</v>
      </c>
      <c r="E1658" t="s">
        <v>373</v>
      </c>
      <c r="F1658" t="s">
        <v>374</v>
      </c>
      <c r="S1658">
        <v>0</v>
      </c>
      <c r="T1658">
        <v>0</v>
      </c>
      <c r="U1658">
        <v>0</v>
      </c>
      <c r="V1658">
        <v>1</v>
      </c>
      <c r="W1658">
        <v>1</v>
      </c>
      <c r="X1658">
        <v>0</v>
      </c>
      <c r="Z1658">
        <v>0</v>
      </c>
    </row>
    <row r="1659" spans="1:38" x14ac:dyDescent="0.3">
      <c r="A1659">
        <v>368279</v>
      </c>
      <c r="B1659" t="s">
        <v>100</v>
      </c>
      <c r="C1659" t="s">
        <v>815</v>
      </c>
      <c r="D1659">
        <v>2024</v>
      </c>
      <c r="E1659" t="s">
        <v>458</v>
      </c>
      <c r="F1659" t="s">
        <v>459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Z1659">
        <v>0</v>
      </c>
    </row>
    <row r="1660" spans="1:38" x14ac:dyDescent="0.3">
      <c r="A1660">
        <v>368413</v>
      </c>
      <c r="B1660" t="s">
        <v>42</v>
      </c>
      <c r="C1660" t="s">
        <v>816</v>
      </c>
      <c r="D1660">
        <v>2021</v>
      </c>
      <c r="E1660" t="s">
        <v>228</v>
      </c>
      <c r="F1660" t="s">
        <v>229</v>
      </c>
      <c r="S1660">
        <v>6</v>
      </c>
      <c r="T1660">
        <v>0</v>
      </c>
      <c r="U1660">
        <v>0</v>
      </c>
      <c r="V1660">
        <v>25</v>
      </c>
      <c r="W1660">
        <v>33</v>
      </c>
      <c r="X1660">
        <v>0</v>
      </c>
      <c r="Z1660">
        <v>0</v>
      </c>
      <c r="AK1660">
        <v>0</v>
      </c>
      <c r="AL1660">
        <v>0</v>
      </c>
    </row>
    <row r="1661" spans="1:38" x14ac:dyDescent="0.3">
      <c r="A1661">
        <v>368413</v>
      </c>
      <c r="B1661" t="s">
        <v>42</v>
      </c>
      <c r="C1661" t="s">
        <v>816</v>
      </c>
      <c r="D1661">
        <v>2022</v>
      </c>
      <c r="E1661" t="s">
        <v>228</v>
      </c>
      <c r="F1661" t="s">
        <v>229</v>
      </c>
      <c r="S1661">
        <v>11</v>
      </c>
      <c r="T1661">
        <v>0</v>
      </c>
      <c r="U1661">
        <v>0</v>
      </c>
      <c r="V1661">
        <v>30</v>
      </c>
      <c r="W1661">
        <v>41</v>
      </c>
      <c r="X1661">
        <v>1</v>
      </c>
      <c r="Y1661">
        <v>3</v>
      </c>
      <c r="Z1661">
        <v>0</v>
      </c>
    </row>
    <row r="1662" spans="1:38" x14ac:dyDescent="0.3">
      <c r="A1662">
        <v>368413</v>
      </c>
      <c r="B1662" t="s">
        <v>42</v>
      </c>
      <c r="C1662" t="s">
        <v>816</v>
      </c>
      <c r="D1662">
        <v>2023</v>
      </c>
      <c r="E1662" t="s">
        <v>228</v>
      </c>
      <c r="F1662" t="s">
        <v>229</v>
      </c>
      <c r="S1662">
        <v>10</v>
      </c>
      <c r="T1662">
        <v>0</v>
      </c>
      <c r="U1662">
        <v>1</v>
      </c>
      <c r="V1662">
        <v>25</v>
      </c>
      <c r="W1662">
        <v>36</v>
      </c>
      <c r="X1662">
        <v>2</v>
      </c>
      <c r="Z1662">
        <v>0</v>
      </c>
    </row>
    <row r="1663" spans="1:38" x14ac:dyDescent="0.3">
      <c r="A1663">
        <v>368430</v>
      </c>
      <c r="B1663" t="s">
        <v>69</v>
      </c>
      <c r="C1663" t="s">
        <v>817</v>
      </c>
      <c r="D1663">
        <v>2020</v>
      </c>
      <c r="E1663" t="s">
        <v>58</v>
      </c>
      <c r="F1663" t="s">
        <v>59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Z1663">
        <v>0</v>
      </c>
    </row>
    <row r="1664" spans="1:38" x14ac:dyDescent="0.3">
      <c r="A1664">
        <v>368430</v>
      </c>
      <c r="B1664" t="s">
        <v>69</v>
      </c>
      <c r="C1664" t="s">
        <v>817</v>
      </c>
      <c r="D1664">
        <v>2021</v>
      </c>
      <c r="E1664" t="s">
        <v>58</v>
      </c>
      <c r="F1664" t="s">
        <v>59</v>
      </c>
      <c r="S1664">
        <v>0</v>
      </c>
      <c r="T1664">
        <v>2</v>
      </c>
      <c r="U1664">
        <v>2</v>
      </c>
      <c r="V1664">
        <v>6</v>
      </c>
      <c r="W1664">
        <v>9</v>
      </c>
      <c r="X1664">
        <v>2</v>
      </c>
      <c r="Z1664">
        <v>0</v>
      </c>
    </row>
    <row r="1665" spans="1:38" x14ac:dyDescent="0.3">
      <c r="A1665">
        <v>368430</v>
      </c>
      <c r="B1665" t="s">
        <v>69</v>
      </c>
      <c r="C1665" t="s">
        <v>817</v>
      </c>
      <c r="D1665">
        <v>2022</v>
      </c>
      <c r="E1665" t="s">
        <v>58</v>
      </c>
      <c r="F1665" t="s">
        <v>59</v>
      </c>
      <c r="S1665">
        <v>0</v>
      </c>
      <c r="T1665">
        <v>0</v>
      </c>
      <c r="U1665">
        <v>1.5</v>
      </c>
      <c r="V1665">
        <v>2</v>
      </c>
      <c r="W1665">
        <v>4</v>
      </c>
      <c r="X1665">
        <v>1.5</v>
      </c>
      <c r="Z1665">
        <v>0</v>
      </c>
    </row>
    <row r="1666" spans="1:38" x14ac:dyDescent="0.3">
      <c r="A1666">
        <v>368430</v>
      </c>
      <c r="B1666" t="s">
        <v>69</v>
      </c>
      <c r="C1666" t="s">
        <v>817</v>
      </c>
      <c r="D1666">
        <v>2023</v>
      </c>
      <c r="E1666" t="s">
        <v>58</v>
      </c>
      <c r="F1666" t="s">
        <v>59</v>
      </c>
      <c r="S1666">
        <v>0</v>
      </c>
      <c r="T1666">
        <v>9</v>
      </c>
      <c r="U1666">
        <v>6</v>
      </c>
      <c r="V1666">
        <v>25</v>
      </c>
      <c r="W1666">
        <v>43</v>
      </c>
      <c r="X1666">
        <v>10.5</v>
      </c>
      <c r="Z1666">
        <v>0</v>
      </c>
    </row>
    <row r="1667" spans="1:38" x14ac:dyDescent="0.3">
      <c r="A1667">
        <v>368430</v>
      </c>
      <c r="B1667" t="s">
        <v>69</v>
      </c>
      <c r="C1667" t="s">
        <v>817</v>
      </c>
      <c r="D1667">
        <v>2024</v>
      </c>
      <c r="E1667" t="s">
        <v>58</v>
      </c>
      <c r="F1667" t="s">
        <v>59</v>
      </c>
      <c r="S1667">
        <v>1</v>
      </c>
      <c r="T1667">
        <v>4</v>
      </c>
      <c r="U1667">
        <v>9.5</v>
      </c>
      <c r="V1667">
        <v>19</v>
      </c>
      <c r="W1667">
        <v>43</v>
      </c>
      <c r="X1667">
        <v>12.5</v>
      </c>
      <c r="Z1667">
        <v>0</v>
      </c>
      <c r="AK1667">
        <v>0</v>
      </c>
      <c r="AL1667">
        <v>0</v>
      </c>
    </row>
    <row r="1668" spans="1:38" x14ac:dyDescent="0.3">
      <c r="A1668">
        <v>369216</v>
      </c>
      <c r="B1668" t="s">
        <v>38</v>
      </c>
      <c r="C1668" t="s">
        <v>818</v>
      </c>
      <c r="D1668">
        <v>2021</v>
      </c>
      <c r="E1668" t="s">
        <v>489</v>
      </c>
      <c r="F1668" t="s">
        <v>490</v>
      </c>
      <c r="S1668">
        <v>0</v>
      </c>
      <c r="T1668">
        <v>0</v>
      </c>
      <c r="U1668">
        <v>0</v>
      </c>
      <c r="V1668">
        <v>3</v>
      </c>
      <c r="W1668">
        <v>3</v>
      </c>
      <c r="X1668">
        <v>0</v>
      </c>
      <c r="Z1668">
        <v>0</v>
      </c>
    </row>
    <row r="1669" spans="1:38" x14ac:dyDescent="0.3">
      <c r="A1669">
        <v>369216</v>
      </c>
      <c r="B1669" t="s">
        <v>38</v>
      </c>
      <c r="C1669" t="s">
        <v>818</v>
      </c>
      <c r="D1669">
        <v>2022</v>
      </c>
      <c r="E1669" t="s">
        <v>489</v>
      </c>
      <c r="F1669" t="s">
        <v>490</v>
      </c>
      <c r="S1669">
        <v>0</v>
      </c>
      <c r="T1669">
        <v>0</v>
      </c>
      <c r="U1669">
        <v>2</v>
      </c>
      <c r="V1669">
        <v>9</v>
      </c>
      <c r="W1669">
        <v>14</v>
      </c>
      <c r="X1669">
        <v>2</v>
      </c>
      <c r="Z1669">
        <v>0</v>
      </c>
    </row>
    <row r="1670" spans="1:38" x14ac:dyDescent="0.3">
      <c r="A1670">
        <v>369216</v>
      </c>
      <c r="B1670" t="s">
        <v>38</v>
      </c>
      <c r="C1670" t="s">
        <v>818</v>
      </c>
      <c r="D1670">
        <v>2023</v>
      </c>
      <c r="E1670" t="s">
        <v>489</v>
      </c>
      <c r="F1670" t="s">
        <v>490</v>
      </c>
      <c r="S1670">
        <v>2</v>
      </c>
      <c r="T1670">
        <v>0</v>
      </c>
      <c r="U1670">
        <v>1</v>
      </c>
      <c r="V1670">
        <v>16</v>
      </c>
      <c r="W1670">
        <v>28</v>
      </c>
      <c r="X1670">
        <v>0.5</v>
      </c>
      <c r="Z1670">
        <v>0</v>
      </c>
    </row>
    <row r="1671" spans="1:38" x14ac:dyDescent="0.3">
      <c r="A1671">
        <v>369216</v>
      </c>
      <c r="B1671" t="s">
        <v>38</v>
      </c>
      <c r="C1671" t="s">
        <v>818</v>
      </c>
      <c r="D1671">
        <v>2024</v>
      </c>
      <c r="E1671" t="s">
        <v>489</v>
      </c>
      <c r="F1671" t="s">
        <v>490</v>
      </c>
      <c r="S1671">
        <v>0</v>
      </c>
      <c r="T1671">
        <v>1</v>
      </c>
      <c r="U1671">
        <v>1</v>
      </c>
      <c r="V1671">
        <v>16</v>
      </c>
      <c r="W1671">
        <v>32</v>
      </c>
      <c r="X1671">
        <v>5</v>
      </c>
      <c r="Z1671">
        <v>0</v>
      </c>
      <c r="AK1671">
        <v>0</v>
      </c>
      <c r="AL1671">
        <v>0</v>
      </c>
    </row>
    <row r="1672" spans="1:38" x14ac:dyDescent="0.3">
      <c r="A1672">
        <v>373291</v>
      </c>
      <c r="B1672" t="s">
        <v>84</v>
      </c>
      <c r="C1672" t="s">
        <v>819</v>
      </c>
      <c r="D1672">
        <v>2021</v>
      </c>
      <c r="E1672" t="s">
        <v>145</v>
      </c>
      <c r="F1672" t="s">
        <v>146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0.5</v>
      </c>
      <c r="Z1672">
        <v>0</v>
      </c>
    </row>
    <row r="1673" spans="1:38" x14ac:dyDescent="0.3">
      <c r="A1673">
        <v>373291</v>
      </c>
      <c r="B1673" t="s">
        <v>84</v>
      </c>
      <c r="C1673" t="s">
        <v>819</v>
      </c>
      <c r="D1673">
        <v>2022</v>
      </c>
      <c r="E1673" t="s">
        <v>145</v>
      </c>
      <c r="F1673" t="s">
        <v>146</v>
      </c>
      <c r="S1673">
        <v>0</v>
      </c>
      <c r="T1673">
        <v>2</v>
      </c>
      <c r="U1673">
        <v>3.5</v>
      </c>
      <c r="V1673">
        <v>30</v>
      </c>
      <c r="W1673">
        <v>50</v>
      </c>
      <c r="X1673">
        <v>7.5</v>
      </c>
      <c r="Z1673">
        <v>0</v>
      </c>
      <c r="AK1673">
        <v>0</v>
      </c>
      <c r="AL1673">
        <v>0</v>
      </c>
    </row>
    <row r="1674" spans="1:38" x14ac:dyDescent="0.3">
      <c r="A1674">
        <v>373291</v>
      </c>
      <c r="B1674" t="s">
        <v>84</v>
      </c>
      <c r="C1674" t="s">
        <v>819</v>
      </c>
      <c r="D1674">
        <v>2023</v>
      </c>
      <c r="E1674" t="s">
        <v>145</v>
      </c>
      <c r="F1674" t="s">
        <v>146</v>
      </c>
      <c r="S1674">
        <v>1</v>
      </c>
      <c r="T1674">
        <v>1</v>
      </c>
      <c r="U1674">
        <v>2</v>
      </c>
      <c r="V1674">
        <v>30</v>
      </c>
      <c r="W1674">
        <v>74</v>
      </c>
      <c r="X1674">
        <v>6.5</v>
      </c>
      <c r="Z1674">
        <v>0</v>
      </c>
    </row>
    <row r="1675" spans="1:38" x14ac:dyDescent="0.3">
      <c r="A1675">
        <v>373291</v>
      </c>
      <c r="B1675" t="s">
        <v>84</v>
      </c>
      <c r="C1675" t="s">
        <v>819</v>
      </c>
      <c r="D1675">
        <v>2024</v>
      </c>
      <c r="E1675" t="s">
        <v>529</v>
      </c>
      <c r="F1675" t="s">
        <v>530</v>
      </c>
      <c r="S1675">
        <v>4</v>
      </c>
      <c r="T1675">
        <v>9</v>
      </c>
      <c r="U1675">
        <v>3.5</v>
      </c>
      <c r="V1675">
        <v>49</v>
      </c>
      <c r="W1675">
        <v>87</v>
      </c>
      <c r="X1675">
        <v>12</v>
      </c>
      <c r="Y1675">
        <v>1</v>
      </c>
      <c r="Z1675">
        <v>0</v>
      </c>
      <c r="AK1675">
        <v>1</v>
      </c>
      <c r="AL1675">
        <v>1</v>
      </c>
    </row>
    <row r="1676" spans="1:38" x14ac:dyDescent="0.3">
      <c r="A1676">
        <v>373367</v>
      </c>
      <c r="B1676" t="s">
        <v>42</v>
      </c>
      <c r="C1676" t="s">
        <v>820</v>
      </c>
      <c r="D1676">
        <v>2021</v>
      </c>
      <c r="E1676" t="s">
        <v>821</v>
      </c>
      <c r="F1676" t="s">
        <v>822</v>
      </c>
      <c r="S1676">
        <v>5</v>
      </c>
      <c r="T1676">
        <v>0</v>
      </c>
      <c r="U1676">
        <v>1</v>
      </c>
      <c r="V1676">
        <v>39</v>
      </c>
      <c r="W1676">
        <v>62</v>
      </c>
      <c r="X1676">
        <v>1.5</v>
      </c>
      <c r="Y1676">
        <v>1</v>
      </c>
      <c r="Z1676">
        <v>0</v>
      </c>
    </row>
    <row r="1677" spans="1:38" x14ac:dyDescent="0.3">
      <c r="A1677">
        <v>373367</v>
      </c>
      <c r="B1677" t="s">
        <v>42</v>
      </c>
      <c r="C1677" t="s">
        <v>820</v>
      </c>
      <c r="D1677">
        <v>2022</v>
      </c>
      <c r="E1677" t="s">
        <v>821</v>
      </c>
      <c r="F1677" t="s">
        <v>822</v>
      </c>
      <c r="S1677">
        <v>4</v>
      </c>
      <c r="T1677">
        <v>0</v>
      </c>
      <c r="U1677">
        <v>1</v>
      </c>
      <c r="V1677">
        <v>39</v>
      </c>
      <c r="W1677">
        <v>66</v>
      </c>
      <c r="X1677">
        <v>4.5</v>
      </c>
      <c r="Y1677">
        <v>2</v>
      </c>
      <c r="Z1677">
        <v>0</v>
      </c>
    </row>
    <row r="1678" spans="1:38" x14ac:dyDescent="0.3">
      <c r="A1678">
        <v>373367</v>
      </c>
      <c r="B1678" t="s">
        <v>42</v>
      </c>
      <c r="C1678" t="s">
        <v>820</v>
      </c>
      <c r="D1678">
        <v>2023</v>
      </c>
      <c r="E1678" t="s">
        <v>821</v>
      </c>
      <c r="F1678" t="s">
        <v>822</v>
      </c>
      <c r="S1678">
        <v>4</v>
      </c>
      <c r="T1678">
        <v>0</v>
      </c>
      <c r="U1678">
        <v>0.5</v>
      </c>
      <c r="V1678">
        <v>40</v>
      </c>
      <c r="W1678">
        <v>74</v>
      </c>
      <c r="X1678">
        <v>5</v>
      </c>
      <c r="Y1678">
        <v>3</v>
      </c>
      <c r="Z1678">
        <v>1</v>
      </c>
    </row>
    <row r="1679" spans="1:38" x14ac:dyDescent="0.3">
      <c r="A1679">
        <v>373841</v>
      </c>
      <c r="B1679" t="s">
        <v>100</v>
      </c>
      <c r="C1679" t="s">
        <v>823</v>
      </c>
      <c r="D1679">
        <v>2024</v>
      </c>
      <c r="E1679" t="s">
        <v>824</v>
      </c>
      <c r="F1679" t="s">
        <v>825</v>
      </c>
      <c r="P1679">
        <v>1</v>
      </c>
      <c r="Q1679">
        <v>0</v>
      </c>
      <c r="R1679">
        <v>6</v>
      </c>
    </row>
    <row r="1680" spans="1:38" x14ac:dyDescent="0.3">
      <c r="A1680">
        <v>376754</v>
      </c>
      <c r="B1680" t="s">
        <v>69</v>
      </c>
      <c r="C1680" t="s">
        <v>826</v>
      </c>
      <c r="D1680">
        <v>2021</v>
      </c>
      <c r="E1680" t="s">
        <v>286</v>
      </c>
      <c r="F1680" t="s">
        <v>287</v>
      </c>
      <c r="S1680">
        <v>0</v>
      </c>
      <c r="T1680">
        <v>1</v>
      </c>
      <c r="U1680">
        <v>0</v>
      </c>
      <c r="V1680">
        <v>4</v>
      </c>
      <c r="W1680">
        <v>5</v>
      </c>
      <c r="X1680">
        <v>0</v>
      </c>
      <c r="Z1680">
        <v>0</v>
      </c>
    </row>
    <row r="1681" spans="1:38" x14ac:dyDescent="0.3">
      <c r="A1681">
        <v>376754</v>
      </c>
      <c r="B1681" t="s">
        <v>69</v>
      </c>
      <c r="C1681" t="s">
        <v>826</v>
      </c>
      <c r="D1681">
        <v>2022</v>
      </c>
      <c r="E1681" t="s">
        <v>286</v>
      </c>
      <c r="F1681" t="s">
        <v>287</v>
      </c>
      <c r="S1681">
        <v>0</v>
      </c>
      <c r="T1681">
        <v>0</v>
      </c>
      <c r="U1681">
        <v>2</v>
      </c>
      <c r="V1681">
        <v>8</v>
      </c>
      <c r="W1681">
        <v>14</v>
      </c>
      <c r="X1681">
        <v>2</v>
      </c>
      <c r="Z1681">
        <v>0</v>
      </c>
    </row>
    <row r="1682" spans="1:38" x14ac:dyDescent="0.3">
      <c r="A1682">
        <v>376754</v>
      </c>
      <c r="B1682" t="s">
        <v>69</v>
      </c>
      <c r="C1682" t="s">
        <v>826</v>
      </c>
      <c r="D1682">
        <v>2023</v>
      </c>
      <c r="E1682" t="s">
        <v>286</v>
      </c>
      <c r="F1682" t="s">
        <v>287</v>
      </c>
      <c r="S1682">
        <v>0</v>
      </c>
      <c r="T1682">
        <v>7</v>
      </c>
      <c r="U1682">
        <v>12.5</v>
      </c>
      <c r="V1682">
        <v>29</v>
      </c>
      <c r="W1682">
        <v>50</v>
      </c>
      <c r="X1682">
        <v>16.5</v>
      </c>
      <c r="Z1682">
        <v>0</v>
      </c>
    </row>
    <row r="1683" spans="1:38" x14ac:dyDescent="0.3">
      <c r="A1683">
        <v>376754</v>
      </c>
      <c r="B1683" t="s">
        <v>69</v>
      </c>
      <c r="C1683" t="s">
        <v>826</v>
      </c>
      <c r="D1683">
        <v>2024</v>
      </c>
      <c r="E1683" t="s">
        <v>286</v>
      </c>
      <c r="F1683" t="s">
        <v>287</v>
      </c>
      <c r="S1683">
        <v>0</v>
      </c>
      <c r="T1683">
        <v>3</v>
      </c>
      <c r="U1683">
        <v>9.5</v>
      </c>
      <c r="V1683">
        <v>28</v>
      </c>
      <c r="W1683">
        <v>48</v>
      </c>
      <c r="X1683">
        <v>15.5</v>
      </c>
      <c r="Z1683">
        <v>0</v>
      </c>
      <c r="AK1683">
        <v>0</v>
      </c>
      <c r="AL1683">
        <v>0</v>
      </c>
    </row>
    <row r="1684" spans="1:38" x14ac:dyDescent="0.3">
      <c r="A1684">
        <v>377207</v>
      </c>
      <c r="B1684" t="s">
        <v>84</v>
      </c>
      <c r="C1684" t="s">
        <v>827</v>
      </c>
      <c r="D1684">
        <v>2022</v>
      </c>
      <c r="E1684" t="s">
        <v>228</v>
      </c>
      <c r="F1684" t="s">
        <v>229</v>
      </c>
      <c r="S1684">
        <v>3</v>
      </c>
      <c r="T1684">
        <v>1</v>
      </c>
      <c r="U1684">
        <v>0</v>
      </c>
      <c r="V1684">
        <v>10</v>
      </c>
      <c r="W1684">
        <v>15</v>
      </c>
      <c r="X1684">
        <v>1</v>
      </c>
      <c r="Y1684">
        <v>1</v>
      </c>
      <c r="Z1684">
        <v>0</v>
      </c>
    </row>
    <row r="1685" spans="1:38" x14ac:dyDescent="0.3">
      <c r="A1685">
        <v>377207</v>
      </c>
      <c r="B1685" t="s">
        <v>84</v>
      </c>
      <c r="C1685" t="s">
        <v>827</v>
      </c>
      <c r="D1685">
        <v>2023</v>
      </c>
      <c r="E1685" t="s">
        <v>228</v>
      </c>
      <c r="F1685" t="s">
        <v>229</v>
      </c>
      <c r="S1685">
        <v>1</v>
      </c>
      <c r="T1685">
        <v>2</v>
      </c>
      <c r="U1685">
        <v>2</v>
      </c>
      <c r="V1685">
        <v>27</v>
      </c>
      <c r="W1685">
        <v>38</v>
      </c>
      <c r="X1685">
        <v>4</v>
      </c>
      <c r="Z1685">
        <v>0</v>
      </c>
    </row>
    <row r="1686" spans="1:38" x14ac:dyDescent="0.3">
      <c r="A1686">
        <v>377207</v>
      </c>
      <c r="B1686" t="s">
        <v>84</v>
      </c>
      <c r="C1686" t="s">
        <v>827</v>
      </c>
      <c r="D1686">
        <v>2024</v>
      </c>
      <c r="E1686" t="s">
        <v>228</v>
      </c>
      <c r="F1686" t="s">
        <v>229</v>
      </c>
      <c r="S1686">
        <v>2</v>
      </c>
      <c r="T1686">
        <v>0</v>
      </c>
      <c r="U1686">
        <v>2.5</v>
      </c>
      <c r="V1686">
        <v>38</v>
      </c>
      <c r="W1686">
        <v>66</v>
      </c>
      <c r="X1686">
        <v>8</v>
      </c>
      <c r="Z1686">
        <v>0</v>
      </c>
      <c r="AK1686">
        <v>0</v>
      </c>
      <c r="AL1686">
        <v>0</v>
      </c>
    </row>
    <row r="1687" spans="1:38" x14ac:dyDescent="0.3">
      <c r="A1687">
        <v>377249</v>
      </c>
      <c r="B1687" t="s">
        <v>69</v>
      </c>
      <c r="C1687" t="s">
        <v>828</v>
      </c>
      <c r="D1687">
        <v>2022</v>
      </c>
      <c r="E1687" t="s">
        <v>116</v>
      </c>
      <c r="F1687" t="s">
        <v>117</v>
      </c>
      <c r="S1687">
        <v>0</v>
      </c>
      <c r="T1687">
        <v>0</v>
      </c>
      <c r="U1687">
        <v>0</v>
      </c>
      <c r="V1687">
        <v>3</v>
      </c>
      <c r="W1687">
        <v>6</v>
      </c>
      <c r="X1687">
        <v>0</v>
      </c>
      <c r="Z1687">
        <v>0</v>
      </c>
      <c r="AF1687">
        <v>3</v>
      </c>
      <c r="AG1687">
        <v>3</v>
      </c>
      <c r="AH1687">
        <v>1</v>
      </c>
      <c r="AI1687">
        <v>0</v>
      </c>
      <c r="AJ1687">
        <v>3</v>
      </c>
      <c r="AK1687">
        <v>1</v>
      </c>
      <c r="AL1687">
        <v>1</v>
      </c>
    </row>
    <row r="1688" spans="1:38" x14ac:dyDescent="0.3">
      <c r="A1688">
        <v>377249</v>
      </c>
      <c r="B1688" t="s">
        <v>69</v>
      </c>
      <c r="C1688" t="s">
        <v>828</v>
      </c>
      <c r="D1688">
        <v>2023</v>
      </c>
      <c r="E1688" t="s">
        <v>116</v>
      </c>
      <c r="F1688" t="s">
        <v>117</v>
      </c>
      <c r="S1688">
        <v>0</v>
      </c>
      <c r="T1688">
        <v>2</v>
      </c>
      <c r="U1688">
        <v>1.5</v>
      </c>
      <c r="V1688">
        <v>16</v>
      </c>
      <c r="W1688">
        <v>24</v>
      </c>
      <c r="X1688">
        <v>2.5</v>
      </c>
      <c r="Z1688">
        <v>0</v>
      </c>
      <c r="AK1688">
        <v>0</v>
      </c>
      <c r="AL1688">
        <v>0</v>
      </c>
    </row>
    <row r="1689" spans="1:38" x14ac:dyDescent="0.3">
      <c r="A1689">
        <v>377249</v>
      </c>
      <c r="B1689" t="s">
        <v>69</v>
      </c>
      <c r="C1689" t="s">
        <v>828</v>
      </c>
      <c r="D1689">
        <v>2024</v>
      </c>
      <c r="E1689" t="s">
        <v>116</v>
      </c>
      <c r="F1689" t="s">
        <v>117</v>
      </c>
      <c r="S1689">
        <v>0</v>
      </c>
      <c r="T1689">
        <v>5</v>
      </c>
      <c r="U1689">
        <v>4</v>
      </c>
      <c r="V1689">
        <v>11</v>
      </c>
      <c r="W1689">
        <v>23</v>
      </c>
      <c r="X1689">
        <v>7</v>
      </c>
      <c r="Z1689">
        <v>0</v>
      </c>
      <c r="AK1689">
        <v>0</v>
      </c>
      <c r="AL1689">
        <v>0</v>
      </c>
    </row>
    <row r="1690" spans="1:38" x14ac:dyDescent="0.3">
      <c r="A1690">
        <v>377260</v>
      </c>
      <c r="B1690" t="s">
        <v>46</v>
      </c>
      <c r="C1690" t="s">
        <v>829</v>
      </c>
      <c r="D1690">
        <v>2021</v>
      </c>
      <c r="E1690" t="s">
        <v>160</v>
      </c>
      <c r="F1690" t="s">
        <v>161</v>
      </c>
      <c r="M1690">
        <v>1</v>
      </c>
      <c r="N1690">
        <v>-7</v>
      </c>
      <c r="O1690">
        <v>0</v>
      </c>
      <c r="P1690">
        <v>7</v>
      </c>
      <c r="Q1690">
        <v>1</v>
      </c>
      <c r="R1690">
        <v>183</v>
      </c>
      <c r="AF1690">
        <v>10.9</v>
      </c>
      <c r="AG1690">
        <v>34</v>
      </c>
      <c r="AH1690">
        <v>13</v>
      </c>
      <c r="AI1690">
        <v>0</v>
      </c>
      <c r="AJ1690">
        <v>142</v>
      </c>
    </row>
    <row r="1691" spans="1:38" x14ac:dyDescent="0.3">
      <c r="A1691">
        <v>377260</v>
      </c>
      <c r="B1691" t="s">
        <v>46</v>
      </c>
      <c r="C1691" t="s">
        <v>829</v>
      </c>
      <c r="D1691">
        <v>2022</v>
      </c>
      <c r="E1691" t="s">
        <v>160</v>
      </c>
      <c r="F1691" t="s">
        <v>161</v>
      </c>
      <c r="P1691">
        <v>13</v>
      </c>
      <c r="Q1691">
        <v>0</v>
      </c>
      <c r="R1691">
        <v>130</v>
      </c>
      <c r="AF1691">
        <v>14.2</v>
      </c>
      <c r="AG1691">
        <v>18</v>
      </c>
      <c r="AH1691">
        <v>5</v>
      </c>
      <c r="AI1691">
        <v>0</v>
      </c>
      <c r="AJ1691">
        <v>71</v>
      </c>
    </row>
    <row r="1692" spans="1:38" x14ac:dyDescent="0.3">
      <c r="A1692">
        <v>377260</v>
      </c>
      <c r="B1692" t="s">
        <v>46</v>
      </c>
      <c r="C1692" t="s">
        <v>829</v>
      </c>
      <c r="D1692">
        <v>2023</v>
      </c>
      <c r="E1692" t="s">
        <v>160</v>
      </c>
      <c r="F1692" t="s">
        <v>161</v>
      </c>
      <c r="M1692">
        <v>1</v>
      </c>
      <c r="N1692">
        <v>14</v>
      </c>
      <c r="O1692">
        <v>1</v>
      </c>
      <c r="P1692">
        <v>57</v>
      </c>
      <c r="Q1692">
        <v>8</v>
      </c>
      <c r="R1692">
        <v>864</v>
      </c>
      <c r="S1692">
        <v>0</v>
      </c>
      <c r="T1692">
        <v>0</v>
      </c>
      <c r="U1692">
        <v>0</v>
      </c>
      <c r="V1692">
        <v>2</v>
      </c>
      <c r="W1692">
        <v>2</v>
      </c>
      <c r="X1692">
        <v>0</v>
      </c>
      <c r="Z1692">
        <v>0</v>
      </c>
      <c r="AF1692">
        <v>2.5</v>
      </c>
      <c r="AG1692">
        <v>3</v>
      </c>
      <c r="AH1692">
        <v>2</v>
      </c>
      <c r="AI1692">
        <v>0</v>
      </c>
      <c r="AJ1692">
        <v>5</v>
      </c>
      <c r="AK1692">
        <v>1</v>
      </c>
      <c r="AL1692">
        <v>1</v>
      </c>
    </row>
    <row r="1693" spans="1:38" x14ac:dyDescent="0.3">
      <c r="A1693">
        <v>377260</v>
      </c>
      <c r="B1693" t="s">
        <v>46</v>
      </c>
      <c r="C1693" t="s">
        <v>829</v>
      </c>
      <c r="D1693">
        <v>2024</v>
      </c>
      <c r="E1693" t="s">
        <v>160</v>
      </c>
      <c r="F1693" t="s">
        <v>161</v>
      </c>
      <c r="M1693">
        <v>2</v>
      </c>
      <c r="N1693">
        <v>-8</v>
      </c>
      <c r="O1693">
        <v>0</v>
      </c>
      <c r="P1693">
        <v>53</v>
      </c>
      <c r="Q1693">
        <v>8</v>
      </c>
      <c r="R1693">
        <v>752</v>
      </c>
      <c r="S1693">
        <v>0</v>
      </c>
      <c r="T1693">
        <v>0</v>
      </c>
      <c r="U1693">
        <v>0</v>
      </c>
      <c r="V1693">
        <v>1</v>
      </c>
      <c r="W1693">
        <v>3</v>
      </c>
      <c r="X1693">
        <v>0</v>
      </c>
      <c r="Z1693">
        <v>0</v>
      </c>
    </row>
    <row r="1694" spans="1:38" x14ac:dyDescent="0.3">
      <c r="A1694">
        <v>377607</v>
      </c>
      <c r="B1694" t="s">
        <v>84</v>
      </c>
      <c r="C1694" t="s">
        <v>830</v>
      </c>
      <c r="D1694">
        <v>2021</v>
      </c>
      <c r="E1694" t="s">
        <v>173</v>
      </c>
      <c r="F1694" t="s">
        <v>174</v>
      </c>
      <c r="S1694">
        <v>1</v>
      </c>
      <c r="T1694">
        <v>0</v>
      </c>
      <c r="U1694">
        <v>0.5</v>
      </c>
      <c r="V1694">
        <v>6</v>
      </c>
      <c r="W1694">
        <v>10</v>
      </c>
      <c r="X1694">
        <v>1.5</v>
      </c>
      <c r="Z1694">
        <v>0</v>
      </c>
    </row>
    <row r="1695" spans="1:38" x14ac:dyDescent="0.3">
      <c r="A1695">
        <v>377607</v>
      </c>
      <c r="B1695" t="s">
        <v>84</v>
      </c>
      <c r="C1695" t="s">
        <v>830</v>
      </c>
      <c r="D1695">
        <v>2022</v>
      </c>
      <c r="E1695" t="s">
        <v>173</v>
      </c>
      <c r="F1695" t="s">
        <v>174</v>
      </c>
      <c r="S1695">
        <v>0</v>
      </c>
      <c r="T1695">
        <v>0</v>
      </c>
      <c r="U1695">
        <v>2.5</v>
      </c>
      <c r="V1695">
        <v>6</v>
      </c>
      <c r="W1695">
        <v>12</v>
      </c>
      <c r="X1695">
        <v>3</v>
      </c>
      <c r="Z1695">
        <v>0</v>
      </c>
    </row>
    <row r="1696" spans="1:38" x14ac:dyDescent="0.3">
      <c r="A1696">
        <v>377607</v>
      </c>
      <c r="B1696" t="s">
        <v>84</v>
      </c>
      <c r="C1696" t="s">
        <v>830</v>
      </c>
      <c r="D1696">
        <v>2023</v>
      </c>
      <c r="E1696" t="s">
        <v>173</v>
      </c>
      <c r="F1696" t="s">
        <v>174</v>
      </c>
      <c r="S1696">
        <v>2</v>
      </c>
      <c r="T1696">
        <v>0</v>
      </c>
      <c r="U1696">
        <v>0</v>
      </c>
      <c r="V1696">
        <v>10</v>
      </c>
      <c r="W1696">
        <v>20</v>
      </c>
      <c r="X1696">
        <v>3</v>
      </c>
      <c r="Y1696">
        <v>1</v>
      </c>
      <c r="Z1696">
        <v>0</v>
      </c>
    </row>
    <row r="1697" spans="1:38" x14ac:dyDescent="0.3">
      <c r="A1697">
        <v>377607</v>
      </c>
      <c r="B1697" t="s">
        <v>84</v>
      </c>
      <c r="C1697" t="s">
        <v>830</v>
      </c>
      <c r="D1697">
        <v>2024</v>
      </c>
      <c r="E1697" t="s">
        <v>173</v>
      </c>
      <c r="F1697" t="s">
        <v>174</v>
      </c>
      <c r="S1697">
        <v>0</v>
      </c>
      <c r="T1697">
        <v>2</v>
      </c>
      <c r="U1697">
        <v>6.5</v>
      </c>
      <c r="V1697">
        <v>26</v>
      </c>
      <c r="W1697">
        <v>41</v>
      </c>
      <c r="X1697">
        <v>9.5</v>
      </c>
      <c r="Z1697">
        <v>0</v>
      </c>
      <c r="AA1697">
        <v>4</v>
      </c>
      <c r="AB1697">
        <v>4</v>
      </c>
      <c r="AC1697">
        <v>1</v>
      </c>
      <c r="AD1697">
        <v>0</v>
      </c>
      <c r="AE1697">
        <v>4</v>
      </c>
      <c r="AK1697">
        <v>0</v>
      </c>
      <c r="AL1697">
        <v>0</v>
      </c>
    </row>
    <row r="1698" spans="1:38" x14ac:dyDescent="0.3">
      <c r="A1698">
        <v>378408</v>
      </c>
      <c r="B1698" t="s">
        <v>76</v>
      </c>
      <c r="C1698" t="s">
        <v>831</v>
      </c>
      <c r="D1698">
        <v>2021</v>
      </c>
      <c r="E1698" t="s">
        <v>176</v>
      </c>
      <c r="F1698" t="s">
        <v>177</v>
      </c>
      <c r="M1698">
        <v>6</v>
      </c>
      <c r="N1698">
        <v>30</v>
      </c>
      <c r="O1698">
        <v>1</v>
      </c>
      <c r="AK1698">
        <v>1</v>
      </c>
      <c r="AL1698">
        <v>1</v>
      </c>
    </row>
    <row r="1699" spans="1:38" x14ac:dyDescent="0.3">
      <c r="A1699">
        <v>378408</v>
      </c>
      <c r="B1699" t="s">
        <v>76</v>
      </c>
      <c r="C1699" t="s">
        <v>831</v>
      </c>
      <c r="D1699">
        <v>2022</v>
      </c>
      <c r="E1699" t="s">
        <v>176</v>
      </c>
      <c r="F1699" t="s">
        <v>177</v>
      </c>
      <c r="M1699">
        <v>78</v>
      </c>
      <c r="N1699">
        <v>531</v>
      </c>
      <c r="O1699">
        <v>9</v>
      </c>
      <c r="P1699">
        <v>1</v>
      </c>
      <c r="Q1699">
        <v>0</v>
      </c>
      <c r="R1699">
        <v>8</v>
      </c>
      <c r="AK1699">
        <v>3</v>
      </c>
      <c r="AL1699">
        <v>2</v>
      </c>
    </row>
    <row r="1700" spans="1:38" x14ac:dyDescent="0.3">
      <c r="A1700">
        <v>378408</v>
      </c>
      <c r="B1700" t="s">
        <v>76</v>
      </c>
      <c r="C1700" t="s">
        <v>831</v>
      </c>
      <c r="D1700">
        <v>2023</v>
      </c>
      <c r="E1700" t="s">
        <v>176</v>
      </c>
      <c r="F1700" t="s">
        <v>177</v>
      </c>
      <c r="M1700">
        <v>161</v>
      </c>
      <c r="N1700">
        <v>797</v>
      </c>
      <c r="O1700">
        <v>4</v>
      </c>
      <c r="P1700">
        <v>9</v>
      </c>
      <c r="Q1700">
        <v>0</v>
      </c>
      <c r="R1700">
        <v>53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0</v>
      </c>
      <c r="Z1700">
        <v>0</v>
      </c>
    </row>
    <row r="1701" spans="1:38" x14ac:dyDescent="0.3">
      <c r="A1701">
        <v>378408</v>
      </c>
      <c r="B1701" t="s">
        <v>76</v>
      </c>
      <c r="C1701" t="s">
        <v>831</v>
      </c>
      <c r="D1701">
        <v>2024</v>
      </c>
      <c r="E1701" t="s">
        <v>145</v>
      </c>
      <c r="F1701" t="s">
        <v>146</v>
      </c>
      <c r="M1701">
        <v>149</v>
      </c>
      <c r="N1701">
        <v>790</v>
      </c>
      <c r="O1701">
        <v>15</v>
      </c>
      <c r="P1701">
        <v>13</v>
      </c>
      <c r="Q1701">
        <v>0</v>
      </c>
      <c r="R1701">
        <v>139</v>
      </c>
      <c r="AK1701">
        <v>3</v>
      </c>
      <c r="AL1701">
        <v>2</v>
      </c>
    </row>
    <row r="1702" spans="1:38" x14ac:dyDescent="0.3">
      <c r="A1702">
        <v>380441</v>
      </c>
      <c r="B1702" t="s">
        <v>46</v>
      </c>
      <c r="C1702" t="s">
        <v>832</v>
      </c>
      <c r="D1702">
        <v>2021</v>
      </c>
      <c r="E1702" t="s">
        <v>176</v>
      </c>
      <c r="F1702" t="s">
        <v>177</v>
      </c>
      <c r="P1702">
        <v>1</v>
      </c>
      <c r="Q1702">
        <v>1</v>
      </c>
      <c r="R1702">
        <v>12</v>
      </c>
    </row>
    <row r="1703" spans="1:38" x14ac:dyDescent="0.3">
      <c r="A1703">
        <v>380441</v>
      </c>
      <c r="B1703" t="s">
        <v>46</v>
      </c>
      <c r="C1703" t="s">
        <v>832</v>
      </c>
      <c r="D1703">
        <v>2022</v>
      </c>
      <c r="E1703" t="s">
        <v>176</v>
      </c>
      <c r="F1703" t="s">
        <v>177</v>
      </c>
      <c r="M1703">
        <v>6</v>
      </c>
      <c r="N1703">
        <v>36</v>
      </c>
      <c r="O1703">
        <v>0</v>
      </c>
      <c r="P1703">
        <v>26</v>
      </c>
      <c r="Q1703">
        <v>2</v>
      </c>
      <c r="R1703">
        <v>414</v>
      </c>
      <c r="S1703">
        <v>0</v>
      </c>
      <c r="T1703">
        <v>0</v>
      </c>
      <c r="U1703">
        <v>0</v>
      </c>
      <c r="V1703">
        <v>2</v>
      </c>
      <c r="W1703">
        <v>2</v>
      </c>
      <c r="X1703">
        <v>0</v>
      </c>
      <c r="Z1703">
        <v>0</v>
      </c>
      <c r="AA1703">
        <v>20.3</v>
      </c>
      <c r="AB1703">
        <v>32</v>
      </c>
      <c r="AC1703">
        <v>4</v>
      </c>
      <c r="AD1703">
        <v>0</v>
      </c>
      <c r="AE1703">
        <v>81</v>
      </c>
      <c r="AF1703">
        <v>-7.5</v>
      </c>
      <c r="AG1703">
        <v>3</v>
      </c>
      <c r="AH1703">
        <v>2</v>
      </c>
      <c r="AI1703">
        <v>0</v>
      </c>
      <c r="AJ1703">
        <v>-15</v>
      </c>
      <c r="AK1703">
        <v>1</v>
      </c>
      <c r="AL1703">
        <v>0</v>
      </c>
    </row>
    <row r="1704" spans="1:38" x14ac:dyDescent="0.3">
      <c r="A1704">
        <v>380441</v>
      </c>
      <c r="B1704" t="s">
        <v>46</v>
      </c>
      <c r="C1704" t="s">
        <v>832</v>
      </c>
      <c r="D1704">
        <v>2023</v>
      </c>
      <c r="E1704" t="s">
        <v>176</v>
      </c>
      <c r="F1704" t="s">
        <v>177</v>
      </c>
      <c r="M1704">
        <v>7</v>
      </c>
      <c r="N1704">
        <v>45</v>
      </c>
      <c r="O1704">
        <v>0</v>
      </c>
      <c r="P1704">
        <v>31</v>
      </c>
      <c r="Q1704">
        <v>2</v>
      </c>
      <c r="R1704">
        <v>293</v>
      </c>
      <c r="AF1704">
        <v>1.5</v>
      </c>
      <c r="AG1704">
        <v>3</v>
      </c>
      <c r="AH1704">
        <v>2</v>
      </c>
      <c r="AI1704">
        <v>0</v>
      </c>
      <c r="AJ1704">
        <v>3</v>
      </c>
    </row>
    <row r="1705" spans="1:38" x14ac:dyDescent="0.3">
      <c r="A1705">
        <v>380441</v>
      </c>
      <c r="B1705" t="s">
        <v>46</v>
      </c>
      <c r="C1705" t="s">
        <v>832</v>
      </c>
      <c r="D1705">
        <v>2024</v>
      </c>
      <c r="E1705" t="s">
        <v>176</v>
      </c>
      <c r="F1705" t="s">
        <v>177</v>
      </c>
      <c r="M1705">
        <v>1</v>
      </c>
      <c r="N1705">
        <v>3</v>
      </c>
      <c r="O1705">
        <v>0</v>
      </c>
      <c r="P1705">
        <v>21</v>
      </c>
      <c r="Q1705">
        <v>3</v>
      </c>
      <c r="R1705">
        <v>294</v>
      </c>
      <c r="S1705">
        <v>0</v>
      </c>
      <c r="T1705">
        <v>0</v>
      </c>
      <c r="U1705">
        <v>0</v>
      </c>
      <c r="V1705">
        <v>1</v>
      </c>
      <c r="W1705">
        <v>1</v>
      </c>
      <c r="X1705">
        <v>0</v>
      </c>
      <c r="Z1705">
        <v>0</v>
      </c>
      <c r="AA1705">
        <v>17.3</v>
      </c>
      <c r="AB1705">
        <v>28</v>
      </c>
      <c r="AC1705">
        <v>7</v>
      </c>
      <c r="AD1705">
        <v>0</v>
      </c>
      <c r="AE1705">
        <v>121</v>
      </c>
    </row>
    <row r="1706" spans="1:38" x14ac:dyDescent="0.3">
      <c r="A1706">
        <v>383281</v>
      </c>
      <c r="B1706" t="s">
        <v>42</v>
      </c>
      <c r="C1706" t="s">
        <v>833</v>
      </c>
      <c r="D1706">
        <v>2021</v>
      </c>
      <c r="E1706" t="s">
        <v>588</v>
      </c>
      <c r="F1706" t="s">
        <v>589</v>
      </c>
      <c r="S1706">
        <v>1</v>
      </c>
      <c r="T1706">
        <v>0</v>
      </c>
      <c r="U1706">
        <v>0</v>
      </c>
      <c r="V1706">
        <v>1</v>
      </c>
      <c r="W1706">
        <v>1</v>
      </c>
      <c r="X1706">
        <v>0</v>
      </c>
      <c r="Z1706">
        <v>0</v>
      </c>
    </row>
    <row r="1707" spans="1:38" x14ac:dyDescent="0.3">
      <c r="A1707">
        <v>383281</v>
      </c>
      <c r="B1707" t="s">
        <v>42</v>
      </c>
      <c r="C1707" t="s">
        <v>833</v>
      </c>
      <c r="D1707">
        <v>2022</v>
      </c>
      <c r="E1707" t="s">
        <v>588</v>
      </c>
      <c r="F1707" t="s">
        <v>589</v>
      </c>
      <c r="Y1707">
        <v>1</v>
      </c>
    </row>
    <row r="1708" spans="1:38" x14ac:dyDescent="0.3">
      <c r="A1708">
        <v>383281</v>
      </c>
      <c r="B1708" t="s">
        <v>42</v>
      </c>
      <c r="C1708" t="s">
        <v>833</v>
      </c>
      <c r="D1708">
        <v>2023</v>
      </c>
      <c r="E1708" t="s">
        <v>590</v>
      </c>
      <c r="F1708" t="s">
        <v>591</v>
      </c>
      <c r="S1708">
        <v>2</v>
      </c>
      <c r="T1708">
        <v>1</v>
      </c>
      <c r="U1708">
        <v>1</v>
      </c>
      <c r="V1708">
        <v>32</v>
      </c>
      <c r="W1708">
        <v>44</v>
      </c>
      <c r="X1708">
        <v>2</v>
      </c>
      <c r="Y1708">
        <v>3</v>
      </c>
      <c r="Z1708">
        <v>0</v>
      </c>
      <c r="AK1708">
        <v>0</v>
      </c>
      <c r="AL1708">
        <v>0</v>
      </c>
    </row>
    <row r="1709" spans="1:38" x14ac:dyDescent="0.3">
      <c r="A1709">
        <v>383281</v>
      </c>
      <c r="B1709" t="s">
        <v>42</v>
      </c>
      <c r="C1709" t="s">
        <v>833</v>
      </c>
      <c r="D1709">
        <v>2024</v>
      </c>
      <c r="E1709" t="s">
        <v>590</v>
      </c>
      <c r="F1709" t="s">
        <v>591</v>
      </c>
      <c r="S1709">
        <v>3</v>
      </c>
      <c r="T1709">
        <v>4</v>
      </c>
      <c r="U1709">
        <v>2</v>
      </c>
      <c r="V1709">
        <v>64</v>
      </c>
      <c r="W1709">
        <v>86</v>
      </c>
      <c r="X1709">
        <v>9.5</v>
      </c>
      <c r="Y1709">
        <v>1</v>
      </c>
      <c r="Z1709">
        <v>1</v>
      </c>
      <c r="AK1709">
        <v>0</v>
      </c>
      <c r="AL1709">
        <v>0</v>
      </c>
    </row>
    <row r="1710" spans="1:38" x14ac:dyDescent="0.3">
      <c r="A1710">
        <v>386094</v>
      </c>
      <c r="B1710" t="s">
        <v>38</v>
      </c>
      <c r="C1710" t="s">
        <v>834</v>
      </c>
      <c r="D1710">
        <v>2022</v>
      </c>
      <c r="E1710" t="s">
        <v>171</v>
      </c>
      <c r="F1710" t="s">
        <v>172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Z1710">
        <v>0</v>
      </c>
    </row>
    <row r="1711" spans="1:38" x14ac:dyDescent="0.3">
      <c r="A1711">
        <v>386094</v>
      </c>
      <c r="B1711" t="s">
        <v>38</v>
      </c>
      <c r="C1711" t="s">
        <v>834</v>
      </c>
      <c r="D1711">
        <v>2023</v>
      </c>
      <c r="E1711" t="s">
        <v>489</v>
      </c>
      <c r="F1711" t="s">
        <v>490</v>
      </c>
      <c r="S1711">
        <v>0</v>
      </c>
      <c r="T1711">
        <v>2</v>
      </c>
      <c r="U1711">
        <v>0</v>
      </c>
      <c r="V1711">
        <v>14</v>
      </c>
      <c r="W1711">
        <v>28</v>
      </c>
      <c r="X1711">
        <v>1.5</v>
      </c>
      <c r="Z1711">
        <v>0</v>
      </c>
    </row>
    <row r="1712" spans="1:38" x14ac:dyDescent="0.3">
      <c r="A1712">
        <v>386094</v>
      </c>
      <c r="B1712" t="s">
        <v>38</v>
      </c>
      <c r="C1712" t="s">
        <v>834</v>
      </c>
      <c r="D1712">
        <v>2024</v>
      </c>
      <c r="E1712" t="s">
        <v>489</v>
      </c>
      <c r="F1712" t="s">
        <v>490</v>
      </c>
      <c r="S1712">
        <v>0</v>
      </c>
      <c r="T1712">
        <v>2</v>
      </c>
      <c r="U1712">
        <v>0</v>
      </c>
      <c r="V1712">
        <v>17</v>
      </c>
      <c r="W1712">
        <v>29</v>
      </c>
      <c r="X1712">
        <v>1</v>
      </c>
      <c r="Z1712">
        <v>0</v>
      </c>
    </row>
    <row r="1713" spans="1:38" x14ac:dyDescent="0.3">
      <c r="A1713">
        <v>386470</v>
      </c>
      <c r="B1713" t="s">
        <v>38</v>
      </c>
      <c r="C1713" t="s">
        <v>835</v>
      </c>
      <c r="D1713">
        <v>2022</v>
      </c>
      <c r="E1713" t="s">
        <v>95</v>
      </c>
      <c r="F1713" t="s">
        <v>96</v>
      </c>
      <c r="S1713">
        <v>0</v>
      </c>
      <c r="T1713">
        <v>0</v>
      </c>
      <c r="U1713">
        <v>0</v>
      </c>
      <c r="V1713">
        <v>2</v>
      </c>
      <c r="W1713">
        <v>8</v>
      </c>
      <c r="X1713">
        <v>0</v>
      </c>
      <c r="Z1713">
        <v>0</v>
      </c>
    </row>
    <row r="1714" spans="1:38" x14ac:dyDescent="0.3">
      <c r="A1714">
        <v>386470</v>
      </c>
      <c r="B1714" t="s">
        <v>38</v>
      </c>
      <c r="C1714" t="s">
        <v>835</v>
      </c>
      <c r="D1714">
        <v>2023</v>
      </c>
      <c r="E1714" t="s">
        <v>95</v>
      </c>
      <c r="F1714" t="s">
        <v>96</v>
      </c>
      <c r="S1714">
        <v>3</v>
      </c>
      <c r="T1714">
        <v>5</v>
      </c>
      <c r="U1714">
        <v>2.5</v>
      </c>
      <c r="V1714">
        <v>14</v>
      </c>
      <c r="W1714">
        <v>27</v>
      </c>
      <c r="X1714">
        <v>4</v>
      </c>
      <c r="Y1714">
        <v>1</v>
      </c>
      <c r="Z1714">
        <v>0</v>
      </c>
      <c r="AK1714">
        <v>0</v>
      </c>
      <c r="AL1714">
        <v>0</v>
      </c>
    </row>
    <row r="1715" spans="1:38" x14ac:dyDescent="0.3">
      <c r="A1715">
        <v>386470</v>
      </c>
      <c r="B1715" t="s">
        <v>38</v>
      </c>
      <c r="C1715" t="s">
        <v>835</v>
      </c>
      <c r="D1715">
        <v>2024</v>
      </c>
      <c r="E1715" t="s">
        <v>95</v>
      </c>
      <c r="F1715" t="s">
        <v>96</v>
      </c>
      <c r="S1715">
        <v>5</v>
      </c>
      <c r="T1715">
        <v>3</v>
      </c>
      <c r="U1715">
        <v>3</v>
      </c>
      <c r="V1715">
        <v>18</v>
      </c>
      <c r="W1715">
        <v>32</v>
      </c>
      <c r="X1715">
        <v>6.5</v>
      </c>
      <c r="Z1715">
        <v>0</v>
      </c>
      <c r="AK1715">
        <v>1</v>
      </c>
      <c r="AL1715">
        <v>1</v>
      </c>
    </row>
    <row r="1716" spans="1:38" x14ac:dyDescent="0.3">
      <c r="A1716">
        <v>387196</v>
      </c>
      <c r="B1716" t="s">
        <v>76</v>
      </c>
      <c r="C1716" t="s">
        <v>836</v>
      </c>
      <c r="D1716">
        <v>2022</v>
      </c>
      <c r="E1716" t="s">
        <v>303</v>
      </c>
      <c r="F1716" t="s">
        <v>304</v>
      </c>
      <c r="M1716">
        <v>15</v>
      </c>
      <c r="N1716">
        <v>33</v>
      </c>
      <c r="O1716">
        <v>0</v>
      </c>
    </row>
    <row r="1717" spans="1:38" x14ac:dyDescent="0.3">
      <c r="A1717">
        <v>387196</v>
      </c>
      <c r="B1717" t="s">
        <v>76</v>
      </c>
      <c r="C1717" t="s">
        <v>836</v>
      </c>
      <c r="D1717">
        <v>2023</v>
      </c>
      <c r="E1717" t="s">
        <v>303</v>
      </c>
      <c r="F1717" t="s">
        <v>304</v>
      </c>
      <c r="M1717">
        <v>65</v>
      </c>
      <c r="N1717">
        <v>398</v>
      </c>
      <c r="O1717">
        <v>3</v>
      </c>
      <c r="P1717">
        <v>14</v>
      </c>
      <c r="Q1717">
        <v>1</v>
      </c>
      <c r="R1717">
        <v>135</v>
      </c>
      <c r="S1717">
        <v>0</v>
      </c>
      <c r="T1717">
        <v>0</v>
      </c>
      <c r="U1717">
        <v>0</v>
      </c>
      <c r="V1717">
        <v>1</v>
      </c>
      <c r="W1717">
        <v>1</v>
      </c>
      <c r="X1717">
        <v>0</v>
      </c>
      <c r="Z1717">
        <v>0</v>
      </c>
      <c r="AA1717">
        <v>26.7</v>
      </c>
      <c r="AB1717">
        <v>31</v>
      </c>
      <c r="AC1717">
        <v>3</v>
      </c>
      <c r="AD1717">
        <v>0</v>
      </c>
      <c r="AE1717">
        <v>80</v>
      </c>
      <c r="AK1717">
        <v>2</v>
      </c>
      <c r="AL1717">
        <v>2</v>
      </c>
    </row>
    <row r="1718" spans="1:38" x14ac:dyDescent="0.3">
      <c r="A1718">
        <v>387196</v>
      </c>
      <c r="B1718" t="s">
        <v>76</v>
      </c>
      <c r="C1718" t="s">
        <v>836</v>
      </c>
      <c r="D1718">
        <v>2024</v>
      </c>
      <c r="E1718" t="s">
        <v>303</v>
      </c>
      <c r="F1718" t="s">
        <v>304</v>
      </c>
      <c r="M1718">
        <v>134</v>
      </c>
      <c r="N1718">
        <v>730</v>
      </c>
      <c r="O1718">
        <v>8</v>
      </c>
      <c r="P1718">
        <v>42</v>
      </c>
      <c r="Q1718">
        <v>6</v>
      </c>
      <c r="R1718">
        <v>368</v>
      </c>
      <c r="AK1718">
        <v>4</v>
      </c>
      <c r="AL1718">
        <v>3</v>
      </c>
    </row>
    <row r="1719" spans="1:38" x14ac:dyDescent="0.3">
      <c r="A1719">
        <v>388555</v>
      </c>
      <c r="B1719" t="s">
        <v>46</v>
      </c>
      <c r="C1719" t="s">
        <v>837</v>
      </c>
      <c r="D1719">
        <v>2022</v>
      </c>
      <c r="E1719" t="s">
        <v>838</v>
      </c>
      <c r="F1719" t="s">
        <v>839</v>
      </c>
      <c r="P1719">
        <v>19</v>
      </c>
      <c r="Q1719">
        <v>2</v>
      </c>
      <c r="R1719">
        <v>289</v>
      </c>
    </row>
    <row r="1720" spans="1:38" x14ac:dyDescent="0.3">
      <c r="A1720">
        <v>388555</v>
      </c>
      <c r="B1720" t="s">
        <v>46</v>
      </c>
      <c r="C1720" t="s">
        <v>837</v>
      </c>
      <c r="D1720">
        <v>2023</v>
      </c>
      <c r="E1720" t="s">
        <v>838</v>
      </c>
      <c r="F1720" t="s">
        <v>839</v>
      </c>
      <c r="M1720">
        <v>1</v>
      </c>
      <c r="N1720">
        <v>0</v>
      </c>
      <c r="O1720">
        <v>0</v>
      </c>
      <c r="P1720">
        <v>41</v>
      </c>
      <c r="Q1720">
        <v>7</v>
      </c>
      <c r="R1720">
        <v>620</v>
      </c>
    </row>
    <row r="1721" spans="1:38" x14ac:dyDescent="0.3">
      <c r="A1721">
        <v>388555</v>
      </c>
      <c r="B1721" t="s">
        <v>46</v>
      </c>
      <c r="C1721" t="s">
        <v>837</v>
      </c>
      <c r="D1721">
        <v>2024</v>
      </c>
      <c r="E1721" t="s">
        <v>838</v>
      </c>
      <c r="F1721" t="s">
        <v>839</v>
      </c>
      <c r="P1721">
        <v>73</v>
      </c>
      <c r="Q1721">
        <v>8</v>
      </c>
      <c r="R1721">
        <v>1117</v>
      </c>
    </row>
    <row r="1722" spans="1:38" x14ac:dyDescent="0.3">
      <c r="A1722">
        <v>395012</v>
      </c>
      <c r="B1722" t="s">
        <v>50</v>
      </c>
      <c r="C1722" t="s">
        <v>840</v>
      </c>
      <c r="D1722">
        <v>2022</v>
      </c>
      <c r="E1722" t="s">
        <v>841</v>
      </c>
      <c r="F1722" t="s">
        <v>842</v>
      </c>
      <c r="S1722">
        <v>0</v>
      </c>
      <c r="T1722">
        <v>0</v>
      </c>
      <c r="U1722">
        <v>0</v>
      </c>
      <c r="V1722">
        <v>1</v>
      </c>
      <c r="W1722">
        <v>5</v>
      </c>
      <c r="X1722">
        <v>0</v>
      </c>
      <c r="Z1722">
        <v>0</v>
      </c>
    </row>
    <row r="1723" spans="1:38" x14ac:dyDescent="0.3">
      <c r="A1723">
        <v>395012</v>
      </c>
      <c r="B1723" t="s">
        <v>50</v>
      </c>
      <c r="C1723" t="s">
        <v>840</v>
      </c>
      <c r="D1723">
        <v>2023</v>
      </c>
      <c r="E1723" t="s">
        <v>841</v>
      </c>
      <c r="F1723" t="s">
        <v>842</v>
      </c>
      <c r="S1723">
        <v>6</v>
      </c>
      <c r="T1723">
        <v>0</v>
      </c>
      <c r="U1723">
        <v>1</v>
      </c>
      <c r="V1723">
        <v>30</v>
      </c>
      <c r="W1723">
        <v>55</v>
      </c>
      <c r="X1723">
        <v>3.5</v>
      </c>
      <c r="Y1723">
        <v>1</v>
      </c>
      <c r="Z1723">
        <v>0</v>
      </c>
      <c r="AK1723">
        <v>0</v>
      </c>
      <c r="AL1723">
        <v>0</v>
      </c>
    </row>
    <row r="1724" spans="1:38" x14ac:dyDescent="0.3">
      <c r="A1724">
        <v>395012</v>
      </c>
      <c r="B1724" t="s">
        <v>50</v>
      </c>
      <c r="C1724" t="s">
        <v>840</v>
      </c>
      <c r="D1724">
        <v>2024</v>
      </c>
      <c r="E1724" t="s">
        <v>841</v>
      </c>
      <c r="F1724" t="s">
        <v>842</v>
      </c>
      <c r="S1724">
        <v>2</v>
      </c>
      <c r="T1724">
        <v>0</v>
      </c>
      <c r="U1724">
        <v>0</v>
      </c>
      <c r="V1724">
        <v>4</v>
      </c>
      <c r="W1724">
        <v>8</v>
      </c>
      <c r="X1724">
        <v>0.5</v>
      </c>
      <c r="Y1724">
        <v>2</v>
      </c>
      <c r="Z1724">
        <v>1</v>
      </c>
    </row>
    <row r="1725" spans="1:38" x14ac:dyDescent="0.3">
      <c r="A1725">
        <v>402746</v>
      </c>
      <c r="B1725" t="s">
        <v>46</v>
      </c>
      <c r="C1725" t="s">
        <v>843</v>
      </c>
      <c r="D1725">
        <v>2019</v>
      </c>
      <c r="E1725" t="s">
        <v>262</v>
      </c>
      <c r="F1725" t="s">
        <v>263</v>
      </c>
      <c r="G1725">
        <v>1</v>
      </c>
      <c r="H1725">
        <v>1</v>
      </c>
      <c r="I1725">
        <v>36</v>
      </c>
      <c r="J1725">
        <v>1</v>
      </c>
      <c r="K1725">
        <v>1</v>
      </c>
      <c r="L1725">
        <v>0</v>
      </c>
      <c r="M1725">
        <v>20</v>
      </c>
      <c r="N1725">
        <v>343</v>
      </c>
      <c r="O1725">
        <v>3</v>
      </c>
      <c r="P1725">
        <v>15</v>
      </c>
      <c r="Q1725">
        <v>0</v>
      </c>
      <c r="R1725">
        <v>196</v>
      </c>
      <c r="AA1725">
        <v>22.6</v>
      </c>
      <c r="AB1725">
        <v>32</v>
      </c>
      <c r="AC1725">
        <v>5</v>
      </c>
      <c r="AD1725">
        <v>0</v>
      </c>
      <c r="AE1725">
        <v>113</v>
      </c>
    </row>
    <row r="1726" spans="1:38" x14ac:dyDescent="0.3">
      <c r="A1726">
        <v>402746</v>
      </c>
      <c r="B1726" t="s">
        <v>46</v>
      </c>
      <c r="C1726" t="s">
        <v>843</v>
      </c>
      <c r="D1726">
        <v>2020</v>
      </c>
      <c r="E1726" t="s">
        <v>262</v>
      </c>
      <c r="F1726" t="s">
        <v>263</v>
      </c>
      <c r="M1726">
        <v>4</v>
      </c>
      <c r="N1726">
        <v>27</v>
      </c>
      <c r="O1726">
        <v>0</v>
      </c>
      <c r="P1726">
        <v>37</v>
      </c>
      <c r="Q1726">
        <v>5</v>
      </c>
      <c r="R1726">
        <v>520</v>
      </c>
      <c r="AA1726">
        <v>20.399999999999999</v>
      </c>
      <c r="AB1726">
        <v>25</v>
      </c>
      <c r="AC1726">
        <v>9</v>
      </c>
      <c r="AD1726">
        <v>0</v>
      </c>
      <c r="AE1726">
        <v>184</v>
      </c>
      <c r="AK1726">
        <v>2</v>
      </c>
      <c r="AL1726">
        <v>1</v>
      </c>
    </row>
    <row r="1727" spans="1:38" x14ac:dyDescent="0.3">
      <c r="A1727">
        <v>402746</v>
      </c>
      <c r="B1727" t="s">
        <v>46</v>
      </c>
      <c r="C1727" t="s">
        <v>843</v>
      </c>
      <c r="D1727">
        <v>2021</v>
      </c>
      <c r="E1727" t="s">
        <v>262</v>
      </c>
      <c r="F1727" t="s">
        <v>263</v>
      </c>
      <c r="G1727">
        <v>2</v>
      </c>
      <c r="H1727">
        <v>1</v>
      </c>
      <c r="I1727">
        <v>51</v>
      </c>
      <c r="J1727">
        <v>0.5</v>
      </c>
      <c r="K1727">
        <v>1</v>
      </c>
      <c r="L1727">
        <v>0</v>
      </c>
      <c r="M1727">
        <v>19</v>
      </c>
      <c r="N1727">
        <v>76</v>
      </c>
      <c r="O1727">
        <v>2</v>
      </c>
      <c r="P1727">
        <v>85</v>
      </c>
      <c r="Q1727">
        <v>11</v>
      </c>
      <c r="R1727">
        <v>899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0</v>
      </c>
      <c r="Z1727">
        <v>0</v>
      </c>
      <c r="AK1727">
        <v>6</v>
      </c>
      <c r="AL1727">
        <v>4</v>
      </c>
    </row>
    <row r="1728" spans="1:38" x14ac:dyDescent="0.3">
      <c r="A1728">
        <v>402746</v>
      </c>
      <c r="B1728" t="s">
        <v>46</v>
      </c>
      <c r="C1728" t="s">
        <v>843</v>
      </c>
      <c r="D1728">
        <v>2022</v>
      </c>
      <c r="E1728" t="s">
        <v>262</v>
      </c>
      <c r="F1728" t="s">
        <v>263</v>
      </c>
      <c r="M1728">
        <v>6</v>
      </c>
      <c r="N1728">
        <v>22</v>
      </c>
      <c r="O1728">
        <v>0</v>
      </c>
      <c r="P1728">
        <v>75</v>
      </c>
      <c r="Q1728">
        <v>5</v>
      </c>
      <c r="R1728">
        <v>1000</v>
      </c>
    </row>
    <row r="1729" spans="1:38" x14ac:dyDescent="0.3">
      <c r="A1729">
        <v>412499</v>
      </c>
      <c r="B1729" t="s">
        <v>100</v>
      </c>
      <c r="C1729" t="s">
        <v>844</v>
      </c>
      <c r="D1729">
        <v>2022</v>
      </c>
      <c r="E1729" t="s">
        <v>345</v>
      </c>
      <c r="F1729" t="s">
        <v>346</v>
      </c>
      <c r="P1729">
        <v>1</v>
      </c>
      <c r="Q1729">
        <v>0</v>
      </c>
      <c r="R1729">
        <v>12</v>
      </c>
    </row>
    <row r="1730" spans="1:38" x14ac:dyDescent="0.3">
      <c r="A1730">
        <v>424645</v>
      </c>
      <c r="B1730" t="s">
        <v>50</v>
      </c>
      <c r="C1730" t="s">
        <v>845</v>
      </c>
      <c r="D1730">
        <v>2022</v>
      </c>
      <c r="E1730" t="s">
        <v>526</v>
      </c>
      <c r="F1730" t="s">
        <v>527</v>
      </c>
      <c r="S1730">
        <v>0</v>
      </c>
      <c r="T1730">
        <v>0</v>
      </c>
      <c r="U1730">
        <v>0</v>
      </c>
      <c r="V1730">
        <v>7</v>
      </c>
      <c r="W1730">
        <v>8</v>
      </c>
      <c r="X1730">
        <v>1</v>
      </c>
      <c r="Z1730">
        <v>0</v>
      </c>
    </row>
    <row r="1731" spans="1:38" x14ac:dyDescent="0.3">
      <c r="A1731">
        <v>424645</v>
      </c>
      <c r="B1731" t="s">
        <v>50</v>
      </c>
      <c r="C1731" t="s">
        <v>845</v>
      </c>
      <c r="D1731">
        <v>2023</v>
      </c>
      <c r="E1731" t="s">
        <v>526</v>
      </c>
      <c r="F1731" t="s">
        <v>527</v>
      </c>
      <c r="S1731">
        <v>1</v>
      </c>
      <c r="T1731">
        <v>0</v>
      </c>
      <c r="U1731">
        <v>0</v>
      </c>
      <c r="V1731">
        <v>3</v>
      </c>
      <c r="W1731">
        <v>3</v>
      </c>
      <c r="X1731">
        <v>0</v>
      </c>
      <c r="Z1731">
        <v>0</v>
      </c>
    </row>
    <row r="1732" spans="1:38" x14ac:dyDescent="0.3">
      <c r="A1732">
        <v>424645</v>
      </c>
      <c r="B1732" t="s">
        <v>50</v>
      </c>
      <c r="C1732" t="s">
        <v>845</v>
      </c>
      <c r="D1732">
        <v>2024</v>
      </c>
      <c r="E1732" t="s">
        <v>526</v>
      </c>
      <c r="F1732" t="s">
        <v>527</v>
      </c>
      <c r="S1732">
        <v>9</v>
      </c>
      <c r="T1732">
        <v>1</v>
      </c>
      <c r="U1732">
        <v>0</v>
      </c>
      <c r="V1732">
        <v>20</v>
      </c>
      <c r="W1732">
        <v>24</v>
      </c>
      <c r="X1732">
        <v>1</v>
      </c>
      <c r="Y1732">
        <v>6</v>
      </c>
      <c r="Z1732">
        <v>0</v>
      </c>
    </row>
    <row r="1733" spans="1:38" x14ac:dyDescent="0.3">
      <c r="A1733">
        <v>448335</v>
      </c>
      <c r="B1733" t="s">
        <v>76</v>
      </c>
      <c r="C1733" t="s">
        <v>846</v>
      </c>
      <c r="D1733">
        <v>2019</v>
      </c>
      <c r="E1733" t="s">
        <v>401</v>
      </c>
      <c r="F1733" t="s">
        <v>402</v>
      </c>
      <c r="M1733">
        <v>11</v>
      </c>
      <c r="N1733">
        <v>38</v>
      </c>
      <c r="O1733">
        <v>0</v>
      </c>
      <c r="P1733">
        <v>1</v>
      </c>
      <c r="Q1733">
        <v>0</v>
      </c>
      <c r="R1733">
        <v>6</v>
      </c>
    </row>
    <row r="1734" spans="1:38" x14ac:dyDescent="0.3">
      <c r="A1734">
        <v>448335</v>
      </c>
      <c r="B1734" t="s">
        <v>76</v>
      </c>
      <c r="C1734" t="s">
        <v>846</v>
      </c>
      <c r="D1734">
        <v>2021</v>
      </c>
      <c r="E1734" t="s">
        <v>401</v>
      </c>
      <c r="F1734" t="s">
        <v>402</v>
      </c>
      <c r="M1734">
        <v>10</v>
      </c>
      <c r="N1734">
        <v>17</v>
      </c>
      <c r="O1734">
        <v>0</v>
      </c>
      <c r="P1734">
        <v>1</v>
      </c>
      <c r="Q1734">
        <v>0</v>
      </c>
      <c r="R1734">
        <v>15</v>
      </c>
      <c r="AK1734">
        <v>1</v>
      </c>
      <c r="AL1734">
        <v>0</v>
      </c>
    </row>
    <row r="1735" spans="1:38" x14ac:dyDescent="0.3">
      <c r="A1735">
        <v>448335</v>
      </c>
      <c r="B1735" t="s">
        <v>76</v>
      </c>
      <c r="C1735" t="s">
        <v>846</v>
      </c>
      <c r="D1735">
        <v>2022</v>
      </c>
      <c r="E1735" t="s">
        <v>401</v>
      </c>
      <c r="F1735" t="s">
        <v>402</v>
      </c>
      <c r="M1735">
        <v>120</v>
      </c>
      <c r="N1735">
        <v>470</v>
      </c>
      <c r="O1735">
        <v>4</v>
      </c>
      <c r="P1735">
        <v>13</v>
      </c>
      <c r="Q1735">
        <v>0</v>
      </c>
      <c r="R1735">
        <v>167</v>
      </c>
      <c r="AK1735">
        <v>1</v>
      </c>
      <c r="AL1735">
        <v>1</v>
      </c>
    </row>
    <row r="1736" spans="1:38" x14ac:dyDescent="0.3">
      <c r="A1736">
        <v>448335</v>
      </c>
      <c r="B1736" t="s">
        <v>76</v>
      </c>
      <c r="C1736" t="s">
        <v>846</v>
      </c>
      <c r="D1736">
        <v>2023</v>
      </c>
      <c r="E1736" t="s">
        <v>781</v>
      </c>
      <c r="F1736" t="s">
        <v>782</v>
      </c>
      <c r="M1736">
        <v>189</v>
      </c>
      <c r="N1736">
        <v>1185</v>
      </c>
      <c r="O1736">
        <v>17</v>
      </c>
      <c r="P1736">
        <v>7</v>
      </c>
      <c r="Q1736">
        <v>1</v>
      </c>
      <c r="R1736">
        <v>72</v>
      </c>
      <c r="AK1736">
        <v>2</v>
      </c>
      <c r="AL1736">
        <v>2</v>
      </c>
    </row>
    <row r="1737" spans="1:38" x14ac:dyDescent="0.3">
      <c r="A1737">
        <v>448335</v>
      </c>
      <c r="B1737" t="s">
        <v>76</v>
      </c>
      <c r="C1737" t="s">
        <v>846</v>
      </c>
      <c r="D1737">
        <v>2024</v>
      </c>
      <c r="E1737" t="s">
        <v>64</v>
      </c>
      <c r="F1737" t="s">
        <v>65</v>
      </c>
      <c r="M1737">
        <v>13</v>
      </c>
      <c r="N1737">
        <v>106</v>
      </c>
      <c r="O1737">
        <v>1</v>
      </c>
    </row>
  </sheetData>
  <autoFilter ref="A1:AL1737" xr:uid="{A9D2632A-FCD6-4D3F-86B1-BB8E53B42B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6AB9-8C72-43BF-826B-659BAFF59E28}">
  <dimension ref="A1:L21"/>
  <sheetViews>
    <sheetView tabSelected="1" topLeftCell="G1" workbookViewId="0">
      <selection activeCell="J17" sqref="J17"/>
    </sheetView>
  </sheetViews>
  <sheetFormatPr defaultRowHeight="14.4" x14ac:dyDescent="0.3"/>
  <cols>
    <col min="3" max="3" width="16.6640625" bestFit="1" customWidth="1"/>
    <col min="7" max="7" width="14.88671875" bestFit="1" customWidth="1"/>
    <col min="8" max="8" width="12" bestFit="1" customWidth="1"/>
    <col min="9" max="9" width="17.6640625" bestFit="1" customWidth="1"/>
    <col min="10" max="10" width="17.77734375" bestFit="1" customWidth="1"/>
    <col min="11" max="11" width="19" bestFit="1" customWidth="1"/>
    <col min="12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>
        <v>280152</v>
      </c>
      <c r="B2" t="s">
        <v>76</v>
      </c>
      <c r="C2" t="s">
        <v>857</v>
      </c>
      <c r="G2" s="5">
        <f>671/5</f>
        <v>134.19999999999999</v>
      </c>
      <c r="H2" s="5">
        <f>3417/5</f>
        <v>683.4</v>
      </c>
      <c r="I2" s="5">
        <f>40/5</f>
        <v>8</v>
      </c>
      <c r="J2" s="5">
        <v>30</v>
      </c>
      <c r="K2" s="5">
        <f>11/5</f>
        <v>2.2000000000000002</v>
      </c>
      <c r="L2" s="5">
        <f>1417/5</f>
        <v>283.39999999999998</v>
      </c>
    </row>
    <row r="3" spans="1:12" x14ac:dyDescent="0.3">
      <c r="A3">
        <v>310208</v>
      </c>
      <c r="B3" t="s">
        <v>76</v>
      </c>
      <c r="C3" t="s">
        <v>858</v>
      </c>
      <c r="G3">
        <f>631/4</f>
        <v>157.75</v>
      </c>
      <c r="H3">
        <f>4527/4</f>
        <v>1131.75</v>
      </c>
      <c r="I3">
        <f>40/10</f>
        <v>4</v>
      </c>
      <c r="J3">
        <f>62/4</f>
        <v>15.5</v>
      </c>
      <c r="K3">
        <f>3/4</f>
        <v>0.75</v>
      </c>
      <c r="L3">
        <f>581/4</f>
        <v>145.25</v>
      </c>
    </row>
    <row r="4" spans="1:12" x14ac:dyDescent="0.3">
      <c r="A4">
        <v>300685</v>
      </c>
      <c r="B4" t="s">
        <v>76</v>
      </c>
      <c r="C4" t="s">
        <v>859</v>
      </c>
      <c r="G4" s="5">
        <f>563/4</f>
        <v>140.75</v>
      </c>
      <c r="H4" s="5">
        <f>2442/4</f>
        <v>610.5</v>
      </c>
      <c r="I4" s="5">
        <f>18/4</f>
        <v>4.5</v>
      </c>
      <c r="J4" s="5">
        <f>47/4</f>
        <v>11.75</v>
      </c>
      <c r="K4" s="5">
        <f>1/4</f>
        <v>0.25</v>
      </c>
      <c r="L4" s="5">
        <f>249/4</f>
        <v>62.25</v>
      </c>
    </row>
    <row r="5" spans="1:12" x14ac:dyDescent="0.3">
      <c r="A5">
        <v>279792</v>
      </c>
      <c r="B5" t="s">
        <v>76</v>
      </c>
      <c r="C5" t="s">
        <v>860</v>
      </c>
      <c r="G5" s="5">
        <f>343/5</f>
        <v>68.599999999999994</v>
      </c>
      <c r="H5" s="5">
        <f>1690/5</f>
        <v>338</v>
      </c>
      <c r="I5" s="5">
        <f>9/5</f>
        <v>1.8</v>
      </c>
      <c r="J5" s="5">
        <f>127/5</f>
        <v>25.4</v>
      </c>
      <c r="K5" s="5">
        <f>11/5</f>
        <v>2.2000000000000002</v>
      </c>
      <c r="L5" s="5">
        <f>1515/5</f>
        <v>303</v>
      </c>
    </row>
    <row r="6" spans="1:12" x14ac:dyDescent="0.3">
      <c r="A6">
        <v>300724</v>
      </c>
      <c r="B6" t="s">
        <v>76</v>
      </c>
      <c r="C6" t="s">
        <v>861</v>
      </c>
      <c r="G6" s="5">
        <f>495/4</f>
        <v>123.75</v>
      </c>
      <c r="H6" s="5">
        <f>2722/4</f>
        <v>680.5</v>
      </c>
      <c r="I6" s="5">
        <f>16/4</f>
        <v>4</v>
      </c>
      <c r="J6" s="5">
        <f>89/4</f>
        <v>22.25</v>
      </c>
      <c r="K6" s="5">
        <f>6/4</f>
        <v>1.5</v>
      </c>
      <c r="L6" s="5">
        <f>671/4</f>
        <v>167.75</v>
      </c>
    </row>
    <row r="7" spans="1:12" x14ac:dyDescent="0.3">
      <c r="A7">
        <v>282443</v>
      </c>
      <c r="B7" t="s">
        <v>76</v>
      </c>
      <c r="C7" t="s">
        <v>862</v>
      </c>
      <c r="G7" s="5">
        <f>603/5</f>
        <v>120.6</v>
      </c>
      <c r="H7" s="5">
        <f>3138/5</f>
        <v>627.6</v>
      </c>
      <c r="I7" s="5">
        <f>26/5</f>
        <v>5.2</v>
      </c>
      <c r="J7" s="5">
        <f>73/5</f>
        <v>14.6</v>
      </c>
      <c r="K7">
        <f>4/5</f>
        <v>0.8</v>
      </c>
      <c r="L7" s="5">
        <f>681/5</f>
        <v>136.19999999999999</v>
      </c>
    </row>
    <row r="8" spans="1:12" x14ac:dyDescent="0.3">
      <c r="G8" s="5"/>
      <c r="H8" s="5"/>
      <c r="I8" s="5"/>
      <c r="J8" s="5"/>
      <c r="K8" s="5"/>
      <c r="L8" s="5"/>
    </row>
    <row r="9" spans="1:12" x14ac:dyDescent="0.3">
      <c r="G9" s="5"/>
      <c r="H9" s="5"/>
      <c r="I9" s="5"/>
      <c r="J9" s="5"/>
      <c r="K9" s="5"/>
      <c r="L9" s="5"/>
    </row>
    <row r="10" spans="1:12" x14ac:dyDescent="0.3">
      <c r="G10" s="5"/>
      <c r="H10" s="5"/>
      <c r="I10" s="5"/>
      <c r="J10" s="5"/>
      <c r="K10" s="5"/>
      <c r="L10" s="5"/>
    </row>
    <row r="11" spans="1:12" x14ac:dyDescent="0.3">
      <c r="G11" s="5"/>
      <c r="H11" s="5"/>
      <c r="I11" s="5"/>
      <c r="J11" s="5"/>
      <c r="K11" s="5"/>
      <c r="L11" s="5"/>
    </row>
    <row r="12" spans="1:12" x14ac:dyDescent="0.3">
      <c r="G12" s="5"/>
      <c r="H12" s="5"/>
      <c r="I12" s="5"/>
      <c r="J12" s="5"/>
      <c r="K12" s="5"/>
      <c r="L12" s="5"/>
    </row>
    <row r="13" spans="1:12" x14ac:dyDescent="0.3">
      <c r="G13" s="5"/>
      <c r="H13" s="5"/>
      <c r="I13" s="5"/>
      <c r="J13" s="5"/>
      <c r="K13" s="5"/>
      <c r="L13" s="5"/>
    </row>
    <row r="14" spans="1:12" x14ac:dyDescent="0.3">
      <c r="G14" s="5"/>
      <c r="H14" s="5"/>
      <c r="I14" s="5"/>
      <c r="J14" s="5"/>
      <c r="K14" s="5"/>
      <c r="L14" s="5"/>
    </row>
    <row r="15" spans="1:12" x14ac:dyDescent="0.3">
      <c r="G15" s="5"/>
      <c r="H15" s="5"/>
      <c r="I15" s="5"/>
      <c r="J15" s="5"/>
      <c r="K15" s="5"/>
      <c r="L15" s="5"/>
    </row>
    <row r="16" spans="1:12" x14ac:dyDescent="0.3">
      <c r="G16" s="5"/>
      <c r="H16" s="5"/>
      <c r="I16" s="5"/>
      <c r="J16" s="5"/>
      <c r="K16" s="5"/>
      <c r="L16" s="5"/>
    </row>
    <row r="17" spans="7:12" x14ac:dyDescent="0.3">
      <c r="G17" s="5"/>
      <c r="H17" s="5"/>
      <c r="I17" s="5"/>
      <c r="J17" s="5"/>
      <c r="K17" s="5"/>
      <c r="L17" s="5"/>
    </row>
    <row r="18" spans="7:12" x14ac:dyDescent="0.3">
      <c r="G18" s="5"/>
      <c r="H18" s="5"/>
      <c r="I18" s="5"/>
      <c r="J18" s="5"/>
      <c r="K18" s="5"/>
      <c r="L18" s="5"/>
    </row>
    <row r="19" spans="7:12" x14ac:dyDescent="0.3">
      <c r="G19" s="5"/>
      <c r="H19" s="5"/>
      <c r="I19" s="5"/>
      <c r="J19" s="5"/>
      <c r="K19" s="5"/>
      <c r="L19" s="5"/>
    </row>
    <row r="20" spans="7:12" x14ac:dyDescent="0.3">
      <c r="G20" s="5"/>
      <c r="H20" s="5"/>
      <c r="I20" s="5"/>
      <c r="J20" s="5"/>
      <c r="K20" s="5"/>
      <c r="L20" s="5"/>
    </row>
    <row r="21" spans="7:12" x14ac:dyDescent="0.3">
      <c r="G21" s="5"/>
      <c r="H21" s="5"/>
      <c r="I21" s="5"/>
      <c r="J21" s="5"/>
      <c r="K21" s="5"/>
      <c r="L2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3090-5658-4374-83C3-3F291D1F5D0F}">
  <dimension ref="A1:V28"/>
  <sheetViews>
    <sheetView topLeftCell="D1" zoomScale="90" workbookViewId="0">
      <selection activeCell="G2" sqref="G2:V2"/>
    </sheetView>
  </sheetViews>
  <sheetFormatPr defaultRowHeight="14.4" x14ac:dyDescent="0.3"/>
  <cols>
    <col min="1" max="1" width="12.88671875" bestFit="1" customWidth="1"/>
    <col min="3" max="3" width="15.77734375" bestFit="1" customWidth="1"/>
    <col min="5" max="5" width="18.21875" bestFit="1" customWidth="1"/>
    <col min="7" max="7" width="18.6640625" bestFit="1" customWidth="1"/>
    <col min="8" max="8" width="20.33203125" bestFit="1" customWidth="1"/>
    <col min="9" max="9" width="14.109375" bestFit="1" customWidth="1"/>
    <col min="10" max="10" width="14.33203125" bestFit="1" customWidth="1"/>
    <col min="15" max="15" width="14.88671875" bestFit="1" customWidth="1"/>
    <col min="19" max="19" width="1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</row>
    <row r="2" spans="1:22" x14ac:dyDescent="0.3">
      <c r="A2">
        <v>304745</v>
      </c>
      <c r="B2" t="s">
        <v>46</v>
      </c>
      <c r="C2" t="s">
        <v>341</v>
      </c>
      <c r="G2" s="2">
        <f>IFERROR(AVERAGEIF('Full Player List'!$C$2:$C$1737, $C2, 'Full Player List'!P$2:P$1737),0)</f>
        <v>27.333333333333332</v>
      </c>
      <c r="H2" s="2">
        <f>IFERROR(AVERAGEIF('Full Player List'!$C$2:$C$1737, $C2, 'Full Player List'!Q$2:Q$1737),0)</f>
        <v>2.8333333333333335</v>
      </c>
      <c r="I2" s="2">
        <f>IFERROR(AVERAGEIF('Full Player List'!$C$2:$C$1737, $C2, 'Full Player List'!R$2:R$1737),0)</f>
        <v>312.66666666666669</v>
      </c>
      <c r="J2" s="2">
        <f>IFERROR(AVERAGEIF('Full Player List'!$C$2:$C$1737, $C2, 'Full Player List'!AA$2:AA$1737),0)</f>
        <v>0</v>
      </c>
      <c r="K2" s="2">
        <f>IFERROR(AVERAGEIF('Full Player List'!$C$2:$C$1737, $C2, 'Full Player List'!AB$2:AB$1737),0)</f>
        <v>0</v>
      </c>
      <c r="L2" s="2">
        <f>IFERROR(AVERAGEIF('Full Player List'!$C$2:$C$1737, $C2, 'Full Player List'!AC$2:AC$1737),0)</f>
        <v>0</v>
      </c>
      <c r="M2" s="2">
        <f>IFERROR(AVERAGEIF('Full Player List'!$C$2:$C$1737, $C2, 'Full Player List'!AD$2:AD$1737),0)</f>
        <v>0</v>
      </c>
      <c r="N2" s="2">
        <f>IFERROR(AVERAGEIF('Full Player List'!$C$2:$C$1737, $C2, 'Full Player List'!AE$2:AE$1737),0)</f>
        <v>0</v>
      </c>
      <c r="O2" s="2">
        <f>IFERROR(AVERAGEIF('Full Player List'!$C$2:$C$1737, $C2, 'Full Player List'!AF$2:AF$1737),0)</f>
        <v>-1</v>
      </c>
      <c r="P2" s="2">
        <f>IFERROR(AVERAGEIF('Full Player List'!$C$2:$C$1737, $C2, 'Full Player List'!AG$2:AG$1737),0)</f>
        <v>-1</v>
      </c>
      <c r="Q2" s="2">
        <f>IFERROR(AVERAGEIF('Full Player List'!$C$2:$C$1737, $C2, 'Full Player List'!AH$2:AH$1737),0)</f>
        <v>1</v>
      </c>
      <c r="R2" s="2">
        <f>IFERROR(AVERAGEIF('Full Player List'!$C$2:$C$1737, $C2, 'Full Player List'!AI$2:AI$1737),0)</f>
        <v>0</v>
      </c>
      <c r="S2" s="2">
        <f>IFERROR(AVERAGEIF('Full Player List'!$C$2:$C$1737, $C2, 'Full Player List'!AJ$2:AJ$1737),0)</f>
        <v>-1</v>
      </c>
      <c r="T2" s="2">
        <f>IFERROR(AVERAGEIF('Full Player List'!$C$2:$C$1737, $C2, 'Full Player List'!AK$2:AK$1737),0)</f>
        <v>1</v>
      </c>
      <c r="U2" s="2">
        <f>IFERROR(AVERAGEIF('Full Player List'!$C$2:$C$1737, $C2, 'Full Player List'!AL$2:AL$1737),0)</f>
        <v>0</v>
      </c>
      <c r="V2" s="2">
        <f>IFERROR(AVERAGEIF('Full Player List'!$C$2:$C$1737, $C2, 'Full Player List'!AM$2:AM$1737),0)</f>
        <v>0</v>
      </c>
    </row>
    <row r="3" spans="1:22" x14ac:dyDescent="0.3">
      <c r="A3">
        <v>309574</v>
      </c>
      <c r="B3" t="s">
        <v>46</v>
      </c>
      <c r="C3" t="s">
        <v>434</v>
      </c>
      <c r="G3" s="2">
        <f>IFERROR(AVERAGEIF('Full Player List'!$C$2:$C$1737, $C3, 'Full Player List'!P$2:P$1737),0)</f>
        <v>27</v>
      </c>
      <c r="H3" s="2">
        <f>IFERROR(AVERAGEIF('Full Player List'!$C$2:$C$1737, $C3, 'Full Player List'!Q$2:Q$1737),0)</f>
        <v>5.5</v>
      </c>
      <c r="I3" s="2">
        <f>IFERROR(AVERAGEIF('Full Player List'!$C$2:$C$1737, $C3, 'Full Player List'!R$2:R$1737),0)</f>
        <v>451.5</v>
      </c>
      <c r="J3" s="2">
        <f>IFERROR(AVERAGEIF('Full Player List'!$C$2:$C$1737, $C3, 'Full Player List'!AA$2:AA$1737),0)</f>
        <v>0</v>
      </c>
      <c r="K3" s="2">
        <f>IFERROR(AVERAGEIF('Full Player List'!$C$2:$C$1737, $C3, 'Full Player List'!AB$2:AB$1737),0)</f>
        <v>0</v>
      </c>
      <c r="L3" s="2">
        <f>IFERROR(AVERAGEIF('Full Player List'!$C$2:$C$1737, $C3, 'Full Player List'!AC$2:AC$1737),0)</f>
        <v>0</v>
      </c>
      <c r="M3" s="2">
        <f>IFERROR(AVERAGEIF('Full Player List'!$C$2:$C$1737, $C3, 'Full Player List'!AD$2:AD$1737),0)</f>
        <v>0</v>
      </c>
      <c r="N3" s="2">
        <f>IFERROR(AVERAGEIF('Full Player List'!$C$2:$C$1737, $C3, 'Full Player List'!AE$2:AE$1737),0)</f>
        <v>0</v>
      </c>
      <c r="O3" s="2">
        <f>IFERROR(AVERAGEIF('Full Player List'!$C$2:$C$1737, $C3, 'Full Player List'!AF$2:AF$1737),0)</f>
        <v>0</v>
      </c>
      <c r="P3" s="2">
        <f>IFERROR(AVERAGEIF('Full Player List'!$C$2:$C$1737, $C3, 'Full Player List'!AG$2:AG$1737),0)</f>
        <v>0</v>
      </c>
      <c r="Q3" s="2">
        <f>IFERROR(AVERAGEIF('Full Player List'!$C$2:$C$1737, $C3, 'Full Player List'!AH$2:AH$1737),0)</f>
        <v>0</v>
      </c>
      <c r="R3" s="2">
        <f>IFERROR(AVERAGEIF('Full Player List'!$C$2:$C$1737, $C3, 'Full Player List'!AI$2:AI$1737),0)</f>
        <v>0</v>
      </c>
      <c r="S3" s="2">
        <f>IFERROR(AVERAGEIF('Full Player List'!$C$2:$C$1737, $C3, 'Full Player List'!AJ$2:AJ$1737),0)</f>
        <v>0</v>
      </c>
      <c r="T3" s="2">
        <f>IFERROR(AVERAGEIF('Full Player List'!$C$2:$C$1737, $C3, 'Full Player List'!AK$2:AK$1737),0)</f>
        <v>1</v>
      </c>
      <c r="U3" s="2">
        <f>IFERROR(AVERAGEIF('Full Player List'!$C$2:$C$1737, $C3, 'Full Player List'!AL$2:AL$1737),0)</f>
        <v>0</v>
      </c>
      <c r="V3" s="2">
        <f>IFERROR(AVERAGEIF('Full Player List'!$C$2:$C$1737, $C3, 'Full Player List'!AM$2:AM$1737),0)</f>
        <v>0</v>
      </c>
    </row>
    <row r="4" spans="1:22" x14ac:dyDescent="0.3">
      <c r="A4">
        <v>325325</v>
      </c>
      <c r="B4" t="s">
        <v>46</v>
      </c>
      <c r="C4" t="s">
        <v>516</v>
      </c>
      <c r="G4" s="2">
        <f>IFERROR(AVERAGEIF('Full Player List'!$C$2:$C$1737, $C4, 'Full Player List'!P$2:P$1737),0)</f>
        <v>27.8</v>
      </c>
      <c r="H4" s="2">
        <f>IFERROR(AVERAGEIF('Full Player List'!$C$2:$C$1737, $C4, 'Full Player List'!Q$2:Q$1737),0)</f>
        <v>2.8</v>
      </c>
      <c r="I4" s="2">
        <f>IFERROR(AVERAGEIF('Full Player List'!$C$2:$C$1737, $C4, 'Full Player List'!R$2:R$1737),0)</f>
        <v>409</v>
      </c>
      <c r="J4" s="2">
        <f>IFERROR(AVERAGEIF('Full Player List'!$C$2:$C$1737, $C4, 'Full Player List'!AA$2:AA$1737),0)</f>
        <v>0</v>
      </c>
      <c r="K4" s="2">
        <f>IFERROR(AVERAGEIF('Full Player List'!$C$2:$C$1737, $C4, 'Full Player List'!AB$2:AB$1737),0)</f>
        <v>0</v>
      </c>
      <c r="L4" s="2">
        <f>IFERROR(AVERAGEIF('Full Player List'!$C$2:$C$1737, $C4, 'Full Player List'!AC$2:AC$1737),0)</f>
        <v>0</v>
      </c>
      <c r="M4" s="2">
        <f>IFERROR(AVERAGEIF('Full Player List'!$C$2:$C$1737, $C4, 'Full Player List'!AD$2:AD$1737),0)</f>
        <v>0</v>
      </c>
      <c r="N4" s="2">
        <f>IFERROR(AVERAGEIF('Full Player List'!$C$2:$C$1737, $C4, 'Full Player List'!AE$2:AE$1737),0)</f>
        <v>0</v>
      </c>
      <c r="O4" s="2">
        <f>IFERROR(AVERAGEIF('Full Player List'!$C$2:$C$1737, $C4, 'Full Player List'!AF$2:AF$1737),0)</f>
        <v>0</v>
      </c>
      <c r="P4" s="2">
        <f>IFERROR(AVERAGEIF('Full Player List'!$C$2:$C$1737, $C4, 'Full Player List'!AG$2:AG$1737),0)</f>
        <v>0</v>
      </c>
      <c r="Q4" s="2">
        <f>IFERROR(AVERAGEIF('Full Player List'!$C$2:$C$1737, $C4, 'Full Player List'!AH$2:AH$1737),0)</f>
        <v>0</v>
      </c>
      <c r="R4" s="2">
        <f>IFERROR(AVERAGEIF('Full Player List'!$C$2:$C$1737, $C4, 'Full Player List'!AI$2:AI$1737),0)</f>
        <v>0</v>
      </c>
      <c r="S4" s="2">
        <f>IFERROR(AVERAGEIF('Full Player List'!$C$2:$C$1737, $C4, 'Full Player List'!AJ$2:AJ$1737),0)</f>
        <v>0</v>
      </c>
      <c r="T4" s="2">
        <f>IFERROR(AVERAGEIF('Full Player List'!$C$2:$C$1737, $C4, 'Full Player List'!AK$2:AK$1737),0)</f>
        <v>1</v>
      </c>
      <c r="U4" s="2">
        <f>IFERROR(AVERAGEIF('Full Player List'!$C$2:$C$1737, $C4, 'Full Player List'!AL$2:AL$1737),0)</f>
        <v>1</v>
      </c>
      <c r="V4" s="2">
        <f>IFERROR(AVERAGEIF('Full Player List'!$C$2:$C$1737, $C4, 'Full Player List'!AM$2:AM$1737),0)</f>
        <v>0</v>
      </c>
    </row>
    <row r="5" spans="1:22" x14ac:dyDescent="0.3">
      <c r="A5">
        <v>330388</v>
      </c>
      <c r="B5" t="s">
        <v>46</v>
      </c>
      <c r="C5" t="s">
        <v>607</v>
      </c>
      <c r="G5" s="2">
        <f>IFERROR(AVERAGEIF('Full Player List'!$C$2:$C$1737, $C5, 'Full Player List'!P$2:P$1737),0)</f>
        <v>28</v>
      </c>
      <c r="H5" s="2">
        <f>IFERROR(AVERAGEIF('Full Player List'!$C$2:$C$1737, $C5, 'Full Player List'!Q$2:Q$1737),0)</f>
        <v>2</v>
      </c>
      <c r="I5" s="2">
        <f>IFERROR(AVERAGEIF('Full Player List'!$C$2:$C$1737, $C5, 'Full Player List'!R$2:R$1737),0)</f>
        <v>453.33333333333331</v>
      </c>
      <c r="J5" s="2">
        <f>IFERROR(AVERAGEIF('Full Player List'!$C$2:$C$1737, $C5, 'Full Player List'!AA$2:AA$1737),0)</f>
        <v>0</v>
      </c>
      <c r="K5" s="2">
        <f>IFERROR(AVERAGEIF('Full Player List'!$C$2:$C$1737, $C5, 'Full Player List'!AB$2:AB$1737),0)</f>
        <v>0</v>
      </c>
      <c r="L5" s="2">
        <f>IFERROR(AVERAGEIF('Full Player List'!$C$2:$C$1737, $C5, 'Full Player List'!AC$2:AC$1737),0)</f>
        <v>0</v>
      </c>
      <c r="M5" s="2">
        <f>IFERROR(AVERAGEIF('Full Player List'!$C$2:$C$1737, $C5, 'Full Player List'!AD$2:AD$1737),0)</f>
        <v>0</v>
      </c>
      <c r="N5" s="2">
        <f>IFERROR(AVERAGEIF('Full Player List'!$C$2:$C$1737, $C5, 'Full Player List'!AE$2:AE$1737),0)</f>
        <v>0</v>
      </c>
      <c r="O5" s="2">
        <f>IFERROR(AVERAGEIF('Full Player List'!$C$2:$C$1737, $C5, 'Full Player List'!AF$2:AF$1737),0)</f>
        <v>10.350000000000001</v>
      </c>
      <c r="P5" s="2">
        <f>IFERROR(AVERAGEIF('Full Player List'!$C$2:$C$1737, $C5, 'Full Player List'!AG$2:AG$1737),0)</f>
        <v>33.5</v>
      </c>
      <c r="Q5" s="2">
        <f>IFERROR(AVERAGEIF('Full Player List'!$C$2:$C$1737, $C5, 'Full Player List'!AH$2:AH$1737),0)</f>
        <v>6.25</v>
      </c>
      <c r="R5" s="2">
        <f>IFERROR(AVERAGEIF('Full Player List'!$C$2:$C$1737, $C5, 'Full Player List'!AI$2:AI$1737),0)</f>
        <v>0.5</v>
      </c>
      <c r="S5" s="2">
        <f>IFERROR(AVERAGEIF('Full Player List'!$C$2:$C$1737, $C5, 'Full Player List'!AJ$2:AJ$1737),0)</f>
        <v>100.25</v>
      </c>
      <c r="T5" s="2">
        <f>IFERROR(AVERAGEIF('Full Player List'!$C$2:$C$1737, $C5, 'Full Player List'!AK$2:AK$1737),0)</f>
        <v>2</v>
      </c>
      <c r="U5" s="2">
        <f>IFERROR(AVERAGEIF('Full Player List'!$C$2:$C$1737, $C5, 'Full Player List'!AL$2:AL$1737),0)</f>
        <v>1</v>
      </c>
      <c r="V5" s="2">
        <f>IFERROR(AVERAGEIF('Full Player List'!$C$2:$C$1737, $C5, 'Full Player List'!AM$2:AM$1737),0)</f>
        <v>0</v>
      </c>
    </row>
    <row r="6" spans="1:22" x14ac:dyDescent="0.3">
      <c r="A6">
        <v>336471</v>
      </c>
      <c r="B6" t="s">
        <v>46</v>
      </c>
      <c r="C6" t="s">
        <v>621</v>
      </c>
      <c r="G6" s="2">
        <f>IFERROR(AVERAGEIF('Full Player List'!$C$2:$C$1737, $C6, 'Full Player List'!P$2:P$1737),0)</f>
        <v>53.25</v>
      </c>
      <c r="H6" s="2">
        <f>IFERROR(AVERAGEIF('Full Player List'!$C$2:$C$1737, $C6, 'Full Player List'!Q$2:Q$1737),0)</f>
        <v>3.5</v>
      </c>
      <c r="I6" s="2">
        <f>IFERROR(AVERAGEIF('Full Player List'!$C$2:$C$1737, $C6, 'Full Player List'!R$2:R$1737),0)</f>
        <v>574.5</v>
      </c>
      <c r="J6" s="2">
        <f>IFERROR(AVERAGEIF('Full Player List'!$C$2:$C$1737, $C6, 'Full Player List'!AA$2:AA$1737),0)</f>
        <v>0</v>
      </c>
      <c r="K6" s="2">
        <f>IFERROR(AVERAGEIF('Full Player List'!$C$2:$C$1737, $C6, 'Full Player List'!AB$2:AB$1737),0)</f>
        <v>0</v>
      </c>
      <c r="L6" s="2">
        <f>IFERROR(AVERAGEIF('Full Player List'!$C$2:$C$1737, $C6, 'Full Player List'!AC$2:AC$1737),0)</f>
        <v>0</v>
      </c>
      <c r="M6" s="2">
        <f>IFERROR(AVERAGEIF('Full Player List'!$C$2:$C$1737, $C6, 'Full Player List'!AD$2:AD$1737),0)</f>
        <v>0</v>
      </c>
      <c r="N6" s="2">
        <f>IFERROR(AVERAGEIF('Full Player List'!$C$2:$C$1737, $C6, 'Full Player List'!AE$2:AE$1737),0)</f>
        <v>0</v>
      </c>
      <c r="O6" s="2">
        <f>IFERROR(AVERAGEIF('Full Player List'!$C$2:$C$1737, $C6, 'Full Player List'!AF$2:AF$1737),0)</f>
        <v>9.5</v>
      </c>
      <c r="P6" s="2">
        <f>IFERROR(AVERAGEIF('Full Player List'!$C$2:$C$1737, $C6, 'Full Player List'!AG$2:AG$1737),0)</f>
        <v>27.5</v>
      </c>
      <c r="Q6" s="2">
        <f>IFERROR(AVERAGEIF('Full Player List'!$C$2:$C$1737, $C6, 'Full Player List'!AH$2:AH$1737),0)</f>
        <v>13.5</v>
      </c>
      <c r="R6" s="2">
        <f>IFERROR(AVERAGEIF('Full Player List'!$C$2:$C$1737, $C6, 'Full Player List'!AI$2:AI$1737),0)</f>
        <v>0</v>
      </c>
      <c r="S6" s="2">
        <f>IFERROR(AVERAGEIF('Full Player List'!$C$2:$C$1737, $C6, 'Full Player List'!AJ$2:AJ$1737),0)</f>
        <v>123.5</v>
      </c>
      <c r="T6" s="2">
        <f>IFERROR(AVERAGEIF('Full Player List'!$C$2:$C$1737, $C6, 'Full Player List'!AK$2:AK$1737),0)</f>
        <v>2.75</v>
      </c>
      <c r="U6" s="2">
        <f>IFERROR(AVERAGEIF('Full Player List'!$C$2:$C$1737, $C6, 'Full Player List'!AL$2:AL$1737),0)</f>
        <v>2.25</v>
      </c>
      <c r="V6" s="2">
        <f>IFERROR(AVERAGEIF('Full Player List'!$C$2:$C$1737, $C6, 'Full Player List'!AM$2:AM$1737),0)</f>
        <v>0</v>
      </c>
    </row>
    <row r="7" spans="1:22" x14ac:dyDescent="0.3">
      <c r="A7">
        <v>360413</v>
      </c>
      <c r="B7" t="s">
        <v>46</v>
      </c>
      <c r="C7" t="s">
        <v>770</v>
      </c>
      <c r="G7" s="2">
        <f>IFERROR(AVERAGEIF('Full Player List'!$C$2:$C$1737, $C7, 'Full Player List'!P$2:P$1737),0)</f>
        <v>27.666666666666668</v>
      </c>
      <c r="H7" s="2">
        <f>IFERROR(AVERAGEIF('Full Player List'!$C$2:$C$1737, $C7, 'Full Player List'!Q$2:Q$1737),0)</f>
        <v>3</v>
      </c>
      <c r="I7" s="2">
        <f>IFERROR(AVERAGEIF('Full Player List'!$C$2:$C$1737, $C7, 'Full Player List'!R$2:R$1737),0)</f>
        <v>469.66666666666669</v>
      </c>
      <c r="J7" s="2">
        <f>IFERROR(AVERAGEIF('Full Player List'!$C$2:$C$1737, $C7, 'Full Player List'!AA$2:AA$1737),0)</f>
        <v>0</v>
      </c>
      <c r="K7" s="2">
        <f>IFERROR(AVERAGEIF('Full Player List'!$C$2:$C$1737, $C7, 'Full Player List'!AB$2:AB$1737),0)</f>
        <v>0</v>
      </c>
      <c r="L7" s="2">
        <f>IFERROR(AVERAGEIF('Full Player List'!$C$2:$C$1737, $C7, 'Full Player List'!AC$2:AC$1737),0)</f>
        <v>0</v>
      </c>
      <c r="M7" s="2">
        <f>IFERROR(AVERAGEIF('Full Player List'!$C$2:$C$1737, $C7, 'Full Player List'!AD$2:AD$1737),0)</f>
        <v>0</v>
      </c>
      <c r="N7" s="2">
        <f>IFERROR(AVERAGEIF('Full Player List'!$C$2:$C$1737, $C7, 'Full Player List'!AE$2:AE$1737),0)</f>
        <v>0</v>
      </c>
      <c r="O7" s="2">
        <f>IFERROR(AVERAGEIF('Full Player List'!$C$2:$C$1737, $C7, 'Full Player List'!AF$2:AF$1737),0)</f>
        <v>0</v>
      </c>
      <c r="P7" s="2">
        <f>IFERROR(AVERAGEIF('Full Player List'!$C$2:$C$1737, $C7, 'Full Player List'!AG$2:AG$1737),0)</f>
        <v>0</v>
      </c>
      <c r="Q7" s="2">
        <f>IFERROR(AVERAGEIF('Full Player List'!$C$2:$C$1737, $C7, 'Full Player List'!AH$2:AH$1737),0)</f>
        <v>0</v>
      </c>
      <c r="R7" s="2">
        <f>IFERROR(AVERAGEIF('Full Player List'!$C$2:$C$1737, $C7, 'Full Player List'!AI$2:AI$1737),0)</f>
        <v>0</v>
      </c>
      <c r="S7" s="2">
        <f>IFERROR(AVERAGEIF('Full Player List'!$C$2:$C$1737, $C7, 'Full Player List'!AJ$2:AJ$1737),0)</f>
        <v>0</v>
      </c>
      <c r="T7" s="2">
        <f>IFERROR(AVERAGEIF('Full Player List'!$C$2:$C$1737, $C7, 'Full Player List'!AK$2:AK$1737),0)</f>
        <v>2</v>
      </c>
      <c r="U7" s="2">
        <f>IFERROR(AVERAGEIF('Full Player List'!$C$2:$C$1737, $C7, 'Full Player List'!AL$2:AL$1737),0)</f>
        <v>1</v>
      </c>
      <c r="V7" s="2">
        <f>IFERROR(AVERAGEIF('Full Player List'!$C$2:$C$1737, $C7, 'Full Player List'!AM$2:AM$1737),0)</f>
        <v>0</v>
      </c>
    </row>
    <row r="8" spans="1:22" x14ac:dyDescent="0.3">
      <c r="A8">
        <v>326531</v>
      </c>
      <c r="B8" t="s">
        <v>46</v>
      </c>
      <c r="C8" t="s">
        <v>557</v>
      </c>
      <c r="G8" s="2">
        <f>IFERROR(AVERAGEIF('Full Player List'!$C$2:$C$1737, $C8, 'Full Player List'!P$2:P$1737),0)</f>
        <v>24.4</v>
      </c>
      <c r="H8" s="2">
        <f>IFERROR(AVERAGEIF('Full Player List'!$C$2:$C$1737, $C8, 'Full Player List'!Q$2:Q$1737),0)</f>
        <v>0.8</v>
      </c>
      <c r="I8" s="2">
        <f>IFERROR(AVERAGEIF('Full Player List'!$C$2:$C$1737, $C8, 'Full Player List'!R$2:R$1737),0)</f>
        <v>299.39999999999998</v>
      </c>
      <c r="J8" s="2">
        <f>IFERROR(AVERAGEIF('Full Player List'!$C$2:$C$1737, $C8, 'Full Player List'!AA$2:AA$1737),0)</f>
        <v>0</v>
      </c>
      <c r="K8" s="2">
        <f>IFERROR(AVERAGEIF('Full Player List'!$C$2:$C$1737, $C8, 'Full Player List'!AB$2:AB$1737),0)</f>
        <v>0</v>
      </c>
      <c r="L8" s="2">
        <f>IFERROR(AVERAGEIF('Full Player List'!$C$2:$C$1737, $C8, 'Full Player List'!AC$2:AC$1737),0)</f>
        <v>0</v>
      </c>
      <c r="M8" s="2">
        <f>IFERROR(AVERAGEIF('Full Player List'!$C$2:$C$1737, $C8, 'Full Player List'!AD$2:AD$1737),0)</f>
        <v>0</v>
      </c>
      <c r="N8" s="2">
        <f>IFERROR(AVERAGEIF('Full Player List'!$C$2:$C$1737, $C8, 'Full Player List'!AE$2:AE$1737),0)</f>
        <v>0</v>
      </c>
      <c r="O8" s="2">
        <f>IFERROR(AVERAGEIF('Full Player List'!$C$2:$C$1737, $C8, 'Full Player List'!AF$2:AF$1737),0)</f>
        <v>0</v>
      </c>
      <c r="P8" s="2">
        <f>IFERROR(AVERAGEIF('Full Player List'!$C$2:$C$1737, $C8, 'Full Player List'!AG$2:AG$1737),0)</f>
        <v>0</v>
      </c>
      <c r="Q8" s="2">
        <f>IFERROR(AVERAGEIF('Full Player List'!$C$2:$C$1737, $C8, 'Full Player List'!AH$2:AH$1737),0)</f>
        <v>0</v>
      </c>
      <c r="R8" s="2">
        <f>IFERROR(AVERAGEIF('Full Player List'!$C$2:$C$1737, $C8, 'Full Player List'!AI$2:AI$1737),0)</f>
        <v>0</v>
      </c>
      <c r="S8" s="2">
        <f>IFERROR(AVERAGEIF('Full Player List'!$C$2:$C$1737, $C8, 'Full Player List'!AJ$2:AJ$1737),0)</f>
        <v>0</v>
      </c>
      <c r="T8" s="2">
        <f>IFERROR(AVERAGEIF('Full Player List'!$C$2:$C$1737, $C8, 'Full Player List'!AK$2:AK$1737),0)</f>
        <v>0</v>
      </c>
      <c r="U8" s="2">
        <f>IFERROR(AVERAGEIF('Full Player List'!$C$2:$C$1737, $C8, 'Full Player List'!AL$2:AL$1737),0)</f>
        <v>0</v>
      </c>
      <c r="V8" s="2">
        <f>IFERROR(AVERAGEIF('Full Player List'!$C$2:$C$1737, $C8, 'Full Player List'!AM$2:AM$1737),0)</f>
        <v>0</v>
      </c>
    </row>
    <row r="9" spans="1:22" x14ac:dyDescent="0.3">
      <c r="A9">
        <v>314613</v>
      </c>
      <c r="B9" t="s">
        <v>46</v>
      </c>
      <c r="C9" t="s">
        <v>466</v>
      </c>
      <c r="G9" s="2">
        <f>IFERROR(AVERAGEIF('Full Player List'!$C$2:$C$1737, $C9, 'Full Player List'!P$2:P$1737),0)</f>
        <v>26</v>
      </c>
      <c r="H9" s="2">
        <f>IFERROR(AVERAGEIF('Full Player List'!$C$2:$C$1737, $C9, 'Full Player List'!Q$2:Q$1737),0)</f>
        <v>3.25</v>
      </c>
      <c r="I9" s="2">
        <f>IFERROR(AVERAGEIF('Full Player List'!$C$2:$C$1737, $C9, 'Full Player List'!R$2:R$1737),0)</f>
        <v>398</v>
      </c>
      <c r="J9" s="2">
        <f>IFERROR(AVERAGEIF('Full Player List'!$C$2:$C$1737, $C9, 'Full Player List'!AA$2:AA$1737),0)</f>
        <v>0</v>
      </c>
      <c r="K9" s="2">
        <f>IFERROR(AVERAGEIF('Full Player List'!$C$2:$C$1737, $C9, 'Full Player List'!AB$2:AB$1737),0)</f>
        <v>0</v>
      </c>
      <c r="L9" s="2">
        <f>IFERROR(AVERAGEIF('Full Player List'!$C$2:$C$1737, $C9, 'Full Player List'!AC$2:AC$1737),0)</f>
        <v>0</v>
      </c>
      <c r="M9" s="2">
        <f>IFERROR(AVERAGEIF('Full Player List'!$C$2:$C$1737, $C9, 'Full Player List'!AD$2:AD$1737),0)</f>
        <v>0</v>
      </c>
      <c r="N9" s="2">
        <f>IFERROR(AVERAGEIF('Full Player List'!$C$2:$C$1737, $C9, 'Full Player List'!AE$2:AE$1737),0)</f>
        <v>0</v>
      </c>
      <c r="O9" s="2">
        <f>IFERROR(AVERAGEIF('Full Player List'!$C$2:$C$1737, $C9, 'Full Player List'!AF$2:AF$1737),0)</f>
        <v>8</v>
      </c>
      <c r="P9" s="2">
        <f>IFERROR(AVERAGEIF('Full Player List'!$C$2:$C$1737, $C9, 'Full Player List'!AG$2:AG$1737),0)</f>
        <v>8</v>
      </c>
      <c r="Q9" s="2">
        <f>IFERROR(AVERAGEIF('Full Player List'!$C$2:$C$1737, $C9, 'Full Player List'!AH$2:AH$1737),0)</f>
        <v>1</v>
      </c>
      <c r="R9" s="2">
        <f>IFERROR(AVERAGEIF('Full Player List'!$C$2:$C$1737, $C9, 'Full Player List'!AI$2:AI$1737),0)</f>
        <v>0</v>
      </c>
      <c r="S9" s="2">
        <f>IFERROR(AVERAGEIF('Full Player List'!$C$2:$C$1737, $C9, 'Full Player List'!AJ$2:AJ$1737),0)</f>
        <v>8</v>
      </c>
      <c r="T9" s="2">
        <f>IFERROR(AVERAGEIF('Full Player List'!$C$2:$C$1737, $C9, 'Full Player List'!AK$2:AK$1737),0)</f>
        <v>3</v>
      </c>
      <c r="U9" s="2">
        <f>IFERROR(AVERAGEIF('Full Player List'!$C$2:$C$1737, $C9, 'Full Player List'!AL$2:AL$1737),0)</f>
        <v>1</v>
      </c>
      <c r="V9" s="2">
        <f>IFERROR(AVERAGEIF('Full Player List'!$C$2:$C$1737, $C9, 'Full Player List'!AM$2:AM$1737),0)</f>
        <v>0</v>
      </c>
    </row>
    <row r="10" spans="1:22" x14ac:dyDescent="0.3">
      <c r="A10">
        <v>317480</v>
      </c>
      <c r="B10" t="s">
        <v>46</v>
      </c>
      <c r="C10" t="s">
        <v>487</v>
      </c>
      <c r="G10" s="2">
        <f>IFERROR(AVERAGEIF('Full Player List'!$C$2:$C$1737, $C10, 'Full Player List'!P$2:P$1737),0)</f>
        <v>35.666666666666664</v>
      </c>
      <c r="H10" s="2">
        <f>IFERROR(AVERAGEIF('Full Player List'!$C$2:$C$1737, $C10, 'Full Player List'!Q$2:Q$1737),0)</f>
        <v>5.666666666666667</v>
      </c>
      <c r="I10" s="2">
        <f>IFERROR(AVERAGEIF('Full Player List'!$C$2:$C$1737, $C10, 'Full Player List'!R$2:R$1737),0)</f>
        <v>576.33333333333337</v>
      </c>
      <c r="J10" s="2">
        <f>IFERROR(AVERAGEIF('Full Player List'!$C$2:$C$1737, $C10, 'Full Player List'!AA$2:AA$1737),0)</f>
        <v>7.9</v>
      </c>
      <c r="K10" s="2">
        <f>IFERROR(AVERAGEIF('Full Player List'!$C$2:$C$1737, $C10, 'Full Player List'!AB$2:AB$1737),0)</f>
        <v>14</v>
      </c>
      <c r="L10" s="2">
        <f>IFERROR(AVERAGEIF('Full Player List'!$C$2:$C$1737, $C10, 'Full Player List'!AC$2:AC$1737),0)</f>
        <v>4.5</v>
      </c>
      <c r="M10" s="2">
        <f>IFERROR(AVERAGEIF('Full Player List'!$C$2:$C$1737, $C10, 'Full Player List'!AD$2:AD$1737),0)</f>
        <v>0</v>
      </c>
      <c r="N10" s="2">
        <f>IFERROR(AVERAGEIF('Full Player List'!$C$2:$C$1737, $C10, 'Full Player List'!AE$2:AE$1737),0)</f>
        <v>70</v>
      </c>
      <c r="O10" s="2">
        <f>IFERROR(AVERAGEIF('Full Player List'!$C$2:$C$1737, $C10, 'Full Player List'!AF$2:AF$1737),0)</f>
        <v>13.2</v>
      </c>
      <c r="P10" s="2">
        <f>IFERROR(AVERAGEIF('Full Player List'!$C$2:$C$1737, $C10, 'Full Player List'!AG$2:AG$1737),0)</f>
        <v>58</v>
      </c>
      <c r="Q10" s="2">
        <f>IFERROR(AVERAGEIF('Full Player List'!$C$2:$C$1737, $C10, 'Full Player List'!AH$2:AH$1737),0)</f>
        <v>12</v>
      </c>
      <c r="R10" s="2">
        <f>IFERROR(AVERAGEIF('Full Player List'!$C$2:$C$1737, $C10, 'Full Player List'!AI$2:AI$1737),0)</f>
        <v>0</v>
      </c>
      <c r="S10" s="2">
        <f>IFERROR(AVERAGEIF('Full Player List'!$C$2:$C$1737, $C10, 'Full Player List'!AJ$2:AJ$1737),0)</f>
        <v>158</v>
      </c>
      <c r="T10" s="2">
        <f>IFERROR(AVERAGEIF('Full Player List'!$C$2:$C$1737, $C10, 'Full Player List'!AK$2:AK$1737),0)</f>
        <v>3</v>
      </c>
      <c r="U10" s="2">
        <f>IFERROR(AVERAGEIF('Full Player List'!$C$2:$C$1737, $C10, 'Full Player List'!AL$2:AL$1737),0)</f>
        <v>3</v>
      </c>
      <c r="V10" s="2">
        <f>IFERROR(AVERAGEIF('Full Player List'!$C$2:$C$1737, $C10, 'Full Player List'!AM$2:AM$1737),0)</f>
        <v>0</v>
      </c>
    </row>
    <row r="11" spans="1:22" x14ac:dyDescent="0.3">
      <c r="A11">
        <v>325538</v>
      </c>
      <c r="B11" t="s">
        <v>46</v>
      </c>
      <c r="C11" t="s">
        <v>525</v>
      </c>
      <c r="G11" s="2">
        <f>IFERROR(AVERAGEIF('Full Player List'!$C$2:$C$1737, $C11, 'Full Player List'!P$2:P$1737),0)</f>
        <v>62.6</v>
      </c>
      <c r="H11" s="2">
        <f>IFERROR(AVERAGEIF('Full Player List'!$C$2:$C$1737, $C11, 'Full Player List'!Q$2:Q$1737),0)</f>
        <v>5.6</v>
      </c>
      <c r="I11" s="2">
        <f>IFERROR(AVERAGEIF('Full Player List'!$C$2:$C$1737, $C11, 'Full Player List'!R$2:R$1737),0)</f>
        <v>727.8</v>
      </c>
      <c r="J11" s="2">
        <f>IFERROR(AVERAGEIF('Full Player List'!$C$2:$C$1737, $C11, 'Full Player List'!AA$2:AA$1737),0)</f>
        <v>12</v>
      </c>
      <c r="K11" s="2">
        <f>IFERROR(AVERAGEIF('Full Player List'!$C$2:$C$1737, $C11, 'Full Player List'!AB$2:AB$1737),0)</f>
        <v>12</v>
      </c>
      <c r="L11" s="2">
        <f>IFERROR(AVERAGEIF('Full Player List'!$C$2:$C$1737, $C11, 'Full Player List'!AC$2:AC$1737),0)</f>
        <v>1</v>
      </c>
      <c r="M11" s="2">
        <f>IFERROR(AVERAGEIF('Full Player List'!$C$2:$C$1737, $C11, 'Full Player List'!AD$2:AD$1737),0)</f>
        <v>0</v>
      </c>
      <c r="N11" s="2">
        <f>IFERROR(AVERAGEIF('Full Player List'!$C$2:$C$1737, $C11, 'Full Player List'!AE$2:AE$1737),0)</f>
        <v>12</v>
      </c>
      <c r="O11" s="2">
        <f>IFERROR(AVERAGEIF('Full Player List'!$C$2:$C$1737, $C11, 'Full Player List'!AF$2:AF$1737),0)</f>
        <v>10</v>
      </c>
      <c r="P11" s="2">
        <f>IFERROR(AVERAGEIF('Full Player List'!$C$2:$C$1737, $C11, 'Full Player List'!AG$2:AG$1737),0)</f>
        <v>16.5</v>
      </c>
      <c r="Q11" s="2">
        <f>IFERROR(AVERAGEIF('Full Player List'!$C$2:$C$1737, $C11, 'Full Player List'!AH$2:AH$1737),0)</f>
        <v>5</v>
      </c>
      <c r="R11" s="2">
        <f>IFERROR(AVERAGEIF('Full Player List'!$C$2:$C$1737, $C11, 'Full Player List'!AI$2:AI$1737),0)</f>
        <v>0</v>
      </c>
      <c r="S11" s="2">
        <f>IFERROR(AVERAGEIF('Full Player List'!$C$2:$C$1737, $C11, 'Full Player List'!AJ$2:AJ$1737),0)</f>
        <v>26</v>
      </c>
      <c r="T11" s="2">
        <f>IFERROR(AVERAGEIF('Full Player List'!$C$2:$C$1737, $C11, 'Full Player List'!AK$2:AK$1737),0)</f>
        <v>1</v>
      </c>
      <c r="U11" s="2">
        <f>IFERROR(AVERAGEIF('Full Player List'!$C$2:$C$1737, $C11, 'Full Player List'!AL$2:AL$1737),0)</f>
        <v>0.66666666666666663</v>
      </c>
      <c r="V11" s="2">
        <f>IFERROR(AVERAGEIF('Full Player List'!$C$2:$C$1737, $C11, 'Full Player List'!AM$2:AM$1737),0)</f>
        <v>0</v>
      </c>
    </row>
    <row r="12" spans="1:22" x14ac:dyDescent="0.3">
      <c r="A12">
        <v>325753</v>
      </c>
      <c r="B12" t="s">
        <v>46</v>
      </c>
      <c r="C12" t="s">
        <v>532</v>
      </c>
      <c r="G12" s="2">
        <f>IFERROR(AVERAGEIF('Full Player List'!$C$2:$C$1737, $C12, 'Full Player List'!P$2:P$1737),0)</f>
        <v>30</v>
      </c>
      <c r="H12" s="2">
        <f>IFERROR(AVERAGEIF('Full Player List'!$C$2:$C$1737, $C12, 'Full Player List'!Q$2:Q$1737),0)</f>
        <v>3.3333333333333335</v>
      </c>
      <c r="I12" s="2">
        <f>IFERROR(AVERAGEIF('Full Player List'!$C$2:$C$1737, $C12, 'Full Player List'!R$2:R$1737),0)</f>
        <v>517.33333333333337</v>
      </c>
      <c r="J12" s="2">
        <f>IFERROR(AVERAGEIF('Full Player List'!$C$2:$C$1737, $C12, 'Full Player List'!AA$2:AA$1737),0)</f>
        <v>20.3</v>
      </c>
      <c r="K12" s="2">
        <f>IFERROR(AVERAGEIF('Full Player List'!$C$2:$C$1737, $C12, 'Full Player List'!AB$2:AB$1737),0)</f>
        <v>27</v>
      </c>
      <c r="L12" s="2">
        <f>IFERROR(AVERAGEIF('Full Player List'!$C$2:$C$1737, $C12, 'Full Player List'!AC$2:AC$1737),0)</f>
        <v>12</v>
      </c>
      <c r="M12" s="2">
        <f>IFERROR(AVERAGEIF('Full Player List'!$C$2:$C$1737, $C12, 'Full Player List'!AD$2:AD$1737),0)</f>
        <v>0</v>
      </c>
      <c r="N12" s="2">
        <f>IFERROR(AVERAGEIF('Full Player List'!$C$2:$C$1737, $C12, 'Full Player List'!AE$2:AE$1737),0)</f>
        <v>244</v>
      </c>
      <c r="O12" s="2">
        <f>IFERROR(AVERAGEIF('Full Player List'!$C$2:$C$1737, $C12, 'Full Player List'!AF$2:AF$1737),0)</f>
        <v>0</v>
      </c>
      <c r="P12" s="2">
        <f>IFERROR(AVERAGEIF('Full Player List'!$C$2:$C$1737, $C12, 'Full Player List'!AG$2:AG$1737),0)</f>
        <v>0</v>
      </c>
      <c r="Q12" s="2">
        <f>IFERROR(AVERAGEIF('Full Player List'!$C$2:$C$1737, $C12, 'Full Player List'!AH$2:AH$1737),0)</f>
        <v>0</v>
      </c>
      <c r="R12" s="2">
        <f>IFERROR(AVERAGEIF('Full Player List'!$C$2:$C$1737, $C12, 'Full Player List'!AI$2:AI$1737),0)</f>
        <v>0</v>
      </c>
      <c r="S12" s="2">
        <f>IFERROR(AVERAGEIF('Full Player List'!$C$2:$C$1737, $C12, 'Full Player List'!AJ$2:AJ$1737),0)</f>
        <v>0</v>
      </c>
      <c r="T12" s="2">
        <f>IFERROR(AVERAGEIF('Full Player List'!$C$2:$C$1737, $C12, 'Full Player List'!AK$2:AK$1737),0)</f>
        <v>1</v>
      </c>
      <c r="U12" s="2">
        <f>IFERROR(AVERAGEIF('Full Player List'!$C$2:$C$1737, $C12, 'Full Player List'!AL$2:AL$1737),0)</f>
        <v>1</v>
      </c>
      <c r="V12" s="2">
        <f>IFERROR(AVERAGEIF('Full Player List'!$C$2:$C$1737, $C12, 'Full Player List'!AM$2:AM$1737),0)</f>
        <v>0</v>
      </c>
    </row>
    <row r="13" spans="1:22" x14ac:dyDescent="0.3">
      <c r="A13">
        <v>327751</v>
      </c>
      <c r="B13" t="s">
        <v>46</v>
      </c>
      <c r="C13" t="s">
        <v>571</v>
      </c>
      <c r="G13" s="2">
        <f>IFERROR(AVERAGEIF('Full Player List'!$C$2:$C$1737, $C13, 'Full Player List'!P$2:P$1737),0)</f>
        <v>41.8</v>
      </c>
      <c r="H13" s="2">
        <f>IFERROR(AVERAGEIF('Full Player List'!$C$2:$C$1737, $C13, 'Full Player List'!Q$2:Q$1737),0)</f>
        <v>4.2</v>
      </c>
      <c r="I13" s="2">
        <f>IFERROR(AVERAGEIF('Full Player List'!$C$2:$C$1737, $C13, 'Full Player List'!R$2:R$1737),0)</f>
        <v>644.79999999999995</v>
      </c>
      <c r="J13" s="2">
        <f>IFERROR(AVERAGEIF('Full Player List'!$C$2:$C$1737, $C13, 'Full Player List'!AA$2:AA$1737),0)</f>
        <v>20.833333333333332</v>
      </c>
      <c r="K13" s="2">
        <f>IFERROR(AVERAGEIF('Full Player List'!$C$2:$C$1737, $C13, 'Full Player List'!AB$2:AB$1737),0)</f>
        <v>32.666666666666664</v>
      </c>
      <c r="L13" s="2">
        <f>IFERROR(AVERAGEIF('Full Player List'!$C$2:$C$1737, $C13, 'Full Player List'!AC$2:AC$1737),0)</f>
        <v>7.333333333333333</v>
      </c>
      <c r="M13" s="2">
        <f>IFERROR(AVERAGEIF('Full Player List'!$C$2:$C$1737, $C13, 'Full Player List'!AD$2:AD$1737),0)</f>
        <v>0</v>
      </c>
      <c r="N13" s="2">
        <f>IFERROR(AVERAGEIF('Full Player List'!$C$2:$C$1737, $C13, 'Full Player List'!AE$2:AE$1737),0)</f>
        <v>146</v>
      </c>
      <c r="O13" s="2">
        <f>IFERROR(AVERAGEIF('Full Player List'!$C$2:$C$1737, $C13, 'Full Player List'!AF$2:AF$1737),0)</f>
        <v>0</v>
      </c>
      <c r="P13" s="2">
        <f>IFERROR(AVERAGEIF('Full Player List'!$C$2:$C$1737, $C13, 'Full Player List'!AG$2:AG$1737),0)</f>
        <v>0</v>
      </c>
      <c r="Q13" s="2">
        <f>IFERROR(AVERAGEIF('Full Player List'!$C$2:$C$1737, $C13, 'Full Player List'!AH$2:AH$1737),0)</f>
        <v>0</v>
      </c>
      <c r="R13" s="2">
        <f>IFERROR(AVERAGEIF('Full Player List'!$C$2:$C$1737, $C13, 'Full Player List'!AI$2:AI$1737),0)</f>
        <v>0</v>
      </c>
      <c r="S13" s="2">
        <f>IFERROR(AVERAGEIF('Full Player List'!$C$2:$C$1737, $C13, 'Full Player List'!AJ$2:AJ$1737),0)</f>
        <v>0</v>
      </c>
      <c r="T13" s="2">
        <f>IFERROR(AVERAGEIF('Full Player List'!$C$2:$C$1737, $C13, 'Full Player List'!AK$2:AK$1737),0)</f>
        <v>3</v>
      </c>
      <c r="U13" s="2">
        <f>IFERROR(AVERAGEIF('Full Player List'!$C$2:$C$1737, $C13, 'Full Player List'!AL$2:AL$1737),0)</f>
        <v>1</v>
      </c>
      <c r="V13" s="2">
        <f>IFERROR(AVERAGEIF('Full Player List'!$C$2:$C$1737, $C13, 'Full Player List'!AM$2:AM$1737),0)</f>
        <v>0</v>
      </c>
    </row>
    <row r="14" spans="1:22" x14ac:dyDescent="0.3">
      <c r="A14">
        <v>330335</v>
      </c>
      <c r="B14" t="s">
        <v>46</v>
      </c>
      <c r="C14" t="s">
        <v>606</v>
      </c>
      <c r="G14" s="2">
        <f>IFERROR(AVERAGEIF('Full Player List'!$C$2:$C$1737, $C14, 'Full Player List'!P$2:P$1737),0)</f>
        <v>46</v>
      </c>
      <c r="H14" s="2">
        <f>IFERROR(AVERAGEIF('Full Player List'!$C$2:$C$1737, $C14, 'Full Player List'!Q$2:Q$1737),0)</f>
        <v>2.4</v>
      </c>
      <c r="I14" s="2">
        <f>IFERROR(AVERAGEIF('Full Player List'!$C$2:$C$1737, $C14, 'Full Player List'!R$2:R$1737),0)</f>
        <v>558.20000000000005</v>
      </c>
      <c r="J14" s="2">
        <f>IFERROR(AVERAGEIF('Full Player List'!$C$2:$C$1737, $C14, 'Full Player List'!AA$2:AA$1737),0)</f>
        <v>19.8</v>
      </c>
      <c r="K14" s="2">
        <f>IFERROR(AVERAGEIF('Full Player List'!$C$2:$C$1737, $C14, 'Full Player List'!AB$2:AB$1737),0)</f>
        <v>40</v>
      </c>
      <c r="L14" s="2">
        <f>IFERROR(AVERAGEIF('Full Player List'!$C$2:$C$1737, $C14, 'Full Player List'!AC$2:AC$1737),0)</f>
        <v>13</v>
      </c>
      <c r="M14" s="2">
        <f>IFERROR(AVERAGEIF('Full Player List'!$C$2:$C$1737, $C14, 'Full Player List'!AD$2:AD$1737),0)</f>
        <v>0</v>
      </c>
      <c r="N14" s="2">
        <f>IFERROR(AVERAGEIF('Full Player List'!$C$2:$C$1737, $C14, 'Full Player List'!AE$2:AE$1737),0)</f>
        <v>257</v>
      </c>
      <c r="O14" s="2">
        <f>IFERROR(AVERAGEIF('Full Player List'!$C$2:$C$1737, $C14, 'Full Player List'!AF$2:AF$1737),0)</f>
        <v>0</v>
      </c>
      <c r="P14" s="2">
        <f>IFERROR(AVERAGEIF('Full Player List'!$C$2:$C$1737, $C14, 'Full Player List'!AG$2:AG$1737),0)</f>
        <v>0</v>
      </c>
      <c r="Q14" s="2">
        <f>IFERROR(AVERAGEIF('Full Player List'!$C$2:$C$1737, $C14, 'Full Player List'!AH$2:AH$1737),0)</f>
        <v>0</v>
      </c>
      <c r="R14" s="2">
        <f>IFERROR(AVERAGEIF('Full Player List'!$C$2:$C$1737, $C14, 'Full Player List'!AI$2:AI$1737),0)</f>
        <v>0</v>
      </c>
      <c r="S14" s="2">
        <f>IFERROR(AVERAGEIF('Full Player List'!$C$2:$C$1737, $C14, 'Full Player List'!AJ$2:AJ$1737),0)</f>
        <v>0</v>
      </c>
      <c r="T14" s="2">
        <f>IFERROR(AVERAGEIF('Full Player List'!$C$2:$C$1737, $C14, 'Full Player List'!AK$2:AK$1737),0)</f>
        <v>1.6666666666666667</v>
      </c>
      <c r="U14" s="2">
        <f>IFERROR(AVERAGEIF('Full Player List'!$C$2:$C$1737, $C14, 'Full Player List'!AL$2:AL$1737),0)</f>
        <v>1.3333333333333333</v>
      </c>
      <c r="V14" s="2">
        <f>IFERROR(AVERAGEIF('Full Player List'!$C$2:$C$1737, $C14, 'Full Player List'!AM$2:AM$1737),0)</f>
        <v>0</v>
      </c>
    </row>
    <row r="15" spans="1:22" x14ac:dyDescent="0.3">
      <c r="A15">
        <v>349410</v>
      </c>
      <c r="B15" t="s">
        <v>46</v>
      </c>
      <c r="C15" t="s">
        <v>685</v>
      </c>
      <c r="G15" s="2">
        <f>IFERROR(AVERAGEIF('Full Player List'!$C$2:$C$1737, $C15, 'Full Player List'!P$2:P$1737),0)</f>
        <v>31.5</v>
      </c>
      <c r="H15" s="2">
        <f>IFERROR(AVERAGEIF('Full Player List'!$C$2:$C$1737, $C15, 'Full Player List'!Q$2:Q$1737),0)</f>
        <v>2.25</v>
      </c>
      <c r="I15" s="2">
        <f>IFERROR(AVERAGEIF('Full Player List'!$C$2:$C$1737, $C15, 'Full Player List'!R$2:R$1737),0)</f>
        <v>372.5</v>
      </c>
      <c r="J15" s="2">
        <f>IFERROR(AVERAGEIF('Full Player List'!$C$2:$C$1737, $C15, 'Full Player List'!AA$2:AA$1737),0)</f>
        <v>30.524999999999999</v>
      </c>
      <c r="K15" s="2">
        <f>IFERROR(AVERAGEIF('Full Player List'!$C$2:$C$1737, $C15, 'Full Player List'!AB$2:AB$1737),0)</f>
        <v>74</v>
      </c>
      <c r="L15" s="2">
        <f>IFERROR(AVERAGEIF('Full Player List'!$C$2:$C$1737, $C15, 'Full Player List'!AC$2:AC$1737),0)</f>
        <v>13.75</v>
      </c>
      <c r="M15" s="2">
        <f>IFERROR(AVERAGEIF('Full Player List'!$C$2:$C$1737, $C15, 'Full Player List'!AD$2:AD$1737),0)</f>
        <v>0.5</v>
      </c>
      <c r="N15" s="2">
        <f>IFERROR(AVERAGEIF('Full Player List'!$C$2:$C$1737, $C15, 'Full Player List'!AE$2:AE$1737),0)</f>
        <v>410</v>
      </c>
      <c r="O15" s="2">
        <f>IFERROR(AVERAGEIF('Full Player List'!$C$2:$C$1737, $C15, 'Full Player List'!AF$2:AF$1737),0)</f>
        <v>2.2999999999999998</v>
      </c>
      <c r="P15" s="2">
        <f>IFERROR(AVERAGEIF('Full Player List'!$C$2:$C$1737, $C15, 'Full Player List'!AG$2:AG$1737),0)</f>
        <v>9</v>
      </c>
      <c r="Q15" s="2">
        <f>IFERROR(AVERAGEIF('Full Player List'!$C$2:$C$1737, $C15, 'Full Player List'!AH$2:AH$1737),0)</f>
        <v>3</v>
      </c>
      <c r="R15" s="2">
        <f>IFERROR(AVERAGEIF('Full Player List'!$C$2:$C$1737, $C15, 'Full Player List'!AI$2:AI$1737),0)</f>
        <v>0</v>
      </c>
      <c r="S15" s="2">
        <f>IFERROR(AVERAGEIF('Full Player List'!$C$2:$C$1737, $C15, 'Full Player List'!AJ$2:AJ$1737),0)</f>
        <v>7</v>
      </c>
      <c r="T15" s="2">
        <f>IFERROR(AVERAGEIF('Full Player List'!$C$2:$C$1737, $C15, 'Full Player List'!AK$2:AK$1737),0)</f>
        <v>1</v>
      </c>
      <c r="U15" s="2">
        <f>IFERROR(AVERAGEIF('Full Player List'!$C$2:$C$1737, $C15, 'Full Player List'!AL$2:AL$1737),0)</f>
        <v>0</v>
      </c>
      <c r="V15" s="2">
        <f>IFERROR(AVERAGEIF('Full Player List'!$C$2:$C$1737, $C15, 'Full Player List'!AM$2:AM$1737),0)</f>
        <v>0</v>
      </c>
    </row>
    <row r="16" spans="1:22" x14ac:dyDescent="0.3">
      <c r="A16">
        <v>356720</v>
      </c>
      <c r="B16" t="s">
        <v>46</v>
      </c>
      <c r="C16" t="s">
        <v>759</v>
      </c>
      <c r="G16" s="2">
        <f>IFERROR(AVERAGEIF('Full Player List'!$C$2:$C$1737, $C16, 'Full Player List'!P$2:P$1737),0)</f>
        <v>37.333333333333336</v>
      </c>
      <c r="H16" s="2">
        <f>IFERROR(AVERAGEIF('Full Player List'!$C$2:$C$1737, $C16, 'Full Player List'!Q$2:Q$1737),0)</f>
        <v>8.6666666666666661</v>
      </c>
      <c r="I16" s="2">
        <f>IFERROR(AVERAGEIF('Full Player List'!$C$2:$C$1737, $C16, 'Full Player List'!R$2:R$1737),0)</f>
        <v>665.33333333333337</v>
      </c>
      <c r="J16" s="2">
        <f>IFERROR(AVERAGEIF('Full Player List'!$C$2:$C$1737, $C16, 'Full Player List'!AA$2:AA$1737),0)</f>
        <v>0</v>
      </c>
      <c r="K16" s="2">
        <f>IFERROR(AVERAGEIF('Full Player List'!$C$2:$C$1737, $C16, 'Full Player List'!AB$2:AB$1737),0)</f>
        <v>0</v>
      </c>
      <c r="L16" s="2">
        <f>IFERROR(AVERAGEIF('Full Player List'!$C$2:$C$1737, $C16, 'Full Player List'!AC$2:AC$1737),0)</f>
        <v>0</v>
      </c>
      <c r="M16" s="2">
        <f>IFERROR(AVERAGEIF('Full Player List'!$C$2:$C$1737, $C16, 'Full Player List'!AD$2:AD$1737),0)</f>
        <v>0</v>
      </c>
      <c r="N16" s="2">
        <f>IFERROR(AVERAGEIF('Full Player List'!$C$2:$C$1737, $C16, 'Full Player List'!AE$2:AE$1737),0)</f>
        <v>0</v>
      </c>
      <c r="O16" s="2">
        <f>IFERROR(AVERAGEIF('Full Player List'!$C$2:$C$1737, $C16, 'Full Player List'!AF$2:AF$1737),0)</f>
        <v>4.3</v>
      </c>
      <c r="P16" s="2">
        <f>IFERROR(AVERAGEIF('Full Player List'!$C$2:$C$1737, $C16, 'Full Player List'!AG$2:AG$1737),0)</f>
        <v>13</v>
      </c>
      <c r="Q16" s="2">
        <f>IFERROR(AVERAGEIF('Full Player List'!$C$2:$C$1737, $C16, 'Full Player List'!AH$2:AH$1737),0)</f>
        <v>11</v>
      </c>
      <c r="R16" s="2">
        <f>IFERROR(AVERAGEIF('Full Player List'!$C$2:$C$1737, $C16, 'Full Player List'!AI$2:AI$1737),0)</f>
        <v>0</v>
      </c>
      <c r="S16" s="2">
        <f>IFERROR(AVERAGEIF('Full Player List'!$C$2:$C$1737, $C16, 'Full Player List'!AJ$2:AJ$1737),0)</f>
        <v>47</v>
      </c>
      <c r="T16" s="2">
        <f>IFERROR(AVERAGEIF('Full Player List'!$C$2:$C$1737, $C16, 'Full Player List'!AK$2:AK$1737),0)</f>
        <v>0.5</v>
      </c>
      <c r="U16" s="2">
        <f>IFERROR(AVERAGEIF('Full Player List'!$C$2:$C$1737, $C16, 'Full Player List'!AL$2:AL$1737),0)</f>
        <v>0.5</v>
      </c>
      <c r="V16" s="2">
        <f>IFERROR(AVERAGEIF('Full Player List'!$C$2:$C$1737, $C16, 'Full Player List'!AM$2:AM$1737),0)</f>
        <v>0</v>
      </c>
    </row>
    <row r="17" spans="1:22" x14ac:dyDescent="0.3">
      <c r="A17">
        <v>326204</v>
      </c>
      <c r="B17" t="s">
        <v>46</v>
      </c>
      <c r="C17" t="s">
        <v>542</v>
      </c>
      <c r="G17" s="2">
        <f>IFERROR(AVERAGEIF('Full Player List'!$C$2:$C$1737, $C17, 'Full Player List'!P$2:P$1737),0)</f>
        <v>32.6</v>
      </c>
      <c r="H17" s="2">
        <f>IFERROR(AVERAGEIF('Full Player List'!$C$2:$C$1737, $C17, 'Full Player List'!Q$2:Q$1737),0)</f>
        <v>5</v>
      </c>
      <c r="I17" s="2">
        <f>IFERROR(AVERAGEIF('Full Player List'!$C$2:$C$1737, $C17, 'Full Player List'!R$2:R$1737),0)</f>
        <v>442.4</v>
      </c>
      <c r="J17" s="2">
        <f>IFERROR(AVERAGEIF('Full Player List'!$C$2:$C$1737, $C17, 'Full Player List'!AA$2:AA$1737),0)</f>
        <v>0</v>
      </c>
      <c r="K17" s="2">
        <f>IFERROR(AVERAGEIF('Full Player List'!$C$2:$C$1737, $C17, 'Full Player List'!AB$2:AB$1737),0)</f>
        <v>0</v>
      </c>
      <c r="L17" s="2">
        <f>IFERROR(AVERAGEIF('Full Player List'!$C$2:$C$1737, $C17, 'Full Player List'!AC$2:AC$1737),0)</f>
        <v>0</v>
      </c>
      <c r="M17" s="2">
        <f>IFERROR(AVERAGEIF('Full Player List'!$C$2:$C$1737, $C17, 'Full Player List'!AD$2:AD$1737),0)</f>
        <v>0</v>
      </c>
      <c r="N17" s="2">
        <f>IFERROR(AVERAGEIF('Full Player List'!$C$2:$C$1737, $C17, 'Full Player List'!AE$2:AE$1737),0)</f>
        <v>0</v>
      </c>
      <c r="O17" s="2">
        <f>IFERROR(AVERAGEIF('Full Player List'!$C$2:$C$1737, $C17, 'Full Player List'!AF$2:AF$1737),0)</f>
        <v>0</v>
      </c>
      <c r="P17" s="2">
        <f>IFERROR(AVERAGEIF('Full Player List'!$C$2:$C$1737, $C17, 'Full Player List'!AG$2:AG$1737),0)</f>
        <v>0</v>
      </c>
      <c r="Q17" s="2">
        <f>IFERROR(AVERAGEIF('Full Player List'!$C$2:$C$1737, $C17, 'Full Player List'!AH$2:AH$1737),0)</f>
        <v>0</v>
      </c>
      <c r="R17" s="2">
        <f>IFERROR(AVERAGEIF('Full Player List'!$C$2:$C$1737, $C17, 'Full Player List'!AI$2:AI$1737),0)</f>
        <v>0</v>
      </c>
      <c r="S17" s="2">
        <f>IFERROR(AVERAGEIF('Full Player List'!$C$2:$C$1737, $C17, 'Full Player List'!AJ$2:AJ$1737),0)</f>
        <v>0</v>
      </c>
      <c r="T17" s="2">
        <f>IFERROR(AVERAGEIF('Full Player List'!$C$2:$C$1737, $C17, 'Full Player List'!AK$2:AK$1737),0)</f>
        <v>3</v>
      </c>
      <c r="U17" s="2">
        <f>IFERROR(AVERAGEIF('Full Player List'!$C$2:$C$1737, $C17, 'Full Player List'!AL$2:AL$1737),0)</f>
        <v>1.4</v>
      </c>
      <c r="V17" s="2">
        <f>IFERROR(AVERAGEIF('Full Player List'!$C$2:$C$1737, $C17, 'Full Player List'!AM$2:AM$1737),0)</f>
        <v>0</v>
      </c>
    </row>
    <row r="18" spans="1:22" x14ac:dyDescent="0.3">
      <c r="A18">
        <v>340242</v>
      </c>
      <c r="B18" t="s">
        <v>46</v>
      </c>
      <c r="C18" t="s">
        <v>648</v>
      </c>
      <c r="G18" s="2">
        <f>IFERROR(AVERAGEIF('Full Player List'!$C$2:$C$1737, $C18, 'Full Player List'!P$2:P$1737),0)</f>
        <v>21.75</v>
      </c>
      <c r="H18" s="2">
        <f>IFERROR(AVERAGEIF('Full Player List'!$C$2:$C$1737, $C18, 'Full Player List'!Q$2:Q$1737),0)</f>
        <v>4.25</v>
      </c>
      <c r="I18" s="2">
        <f>IFERROR(AVERAGEIF('Full Player List'!$C$2:$C$1737, $C18, 'Full Player List'!R$2:R$1737),0)</f>
        <v>398.75</v>
      </c>
      <c r="J18" s="2">
        <f>IFERROR(AVERAGEIF('Full Player List'!$C$2:$C$1737, $C18, 'Full Player List'!AA$2:AA$1737),0)</f>
        <v>0</v>
      </c>
      <c r="K18" s="2">
        <f>IFERROR(AVERAGEIF('Full Player List'!$C$2:$C$1737, $C18, 'Full Player List'!AB$2:AB$1737),0)</f>
        <v>0</v>
      </c>
      <c r="L18" s="2">
        <f>IFERROR(AVERAGEIF('Full Player List'!$C$2:$C$1737, $C18, 'Full Player List'!AC$2:AC$1737),0)</f>
        <v>0</v>
      </c>
      <c r="M18" s="2">
        <f>IFERROR(AVERAGEIF('Full Player List'!$C$2:$C$1737, $C18, 'Full Player List'!AD$2:AD$1737),0)</f>
        <v>0</v>
      </c>
      <c r="N18" s="2">
        <f>IFERROR(AVERAGEIF('Full Player List'!$C$2:$C$1737, $C18, 'Full Player List'!AE$2:AE$1737),0)</f>
        <v>0</v>
      </c>
      <c r="O18" s="2">
        <f>IFERROR(AVERAGEIF('Full Player List'!$C$2:$C$1737, $C18, 'Full Player List'!AF$2:AF$1737),0)</f>
        <v>0</v>
      </c>
      <c r="P18" s="2">
        <f>IFERROR(AVERAGEIF('Full Player List'!$C$2:$C$1737, $C18, 'Full Player List'!AG$2:AG$1737),0)</f>
        <v>0</v>
      </c>
      <c r="Q18" s="2">
        <f>IFERROR(AVERAGEIF('Full Player List'!$C$2:$C$1737, $C18, 'Full Player List'!AH$2:AH$1737),0)</f>
        <v>0</v>
      </c>
      <c r="R18" s="2">
        <f>IFERROR(AVERAGEIF('Full Player List'!$C$2:$C$1737, $C18, 'Full Player List'!AI$2:AI$1737),0)</f>
        <v>0</v>
      </c>
      <c r="S18" s="2">
        <f>IFERROR(AVERAGEIF('Full Player List'!$C$2:$C$1737, $C18, 'Full Player List'!AJ$2:AJ$1737),0)</f>
        <v>0</v>
      </c>
      <c r="T18" s="2">
        <f>IFERROR(AVERAGEIF('Full Player List'!$C$2:$C$1737, $C18, 'Full Player List'!AK$2:AK$1737),0)</f>
        <v>2</v>
      </c>
      <c r="U18" s="2">
        <f>IFERROR(AVERAGEIF('Full Player List'!$C$2:$C$1737, $C18, 'Full Player List'!AL$2:AL$1737),0)</f>
        <v>1</v>
      </c>
      <c r="V18" s="2">
        <f>IFERROR(AVERAGEIF('Full Player List'!$C$2:$C$1737, $C18, 'Full Player List'!AM$2:AM$1737),0)</f>
        <v>0</v>
      </c>
    </row>
    <row r="19" spans="1:22" x14ac:dyDescent="0.3">
      <c r="A19">
        <v>349639</v>
      </c>
      <c r="B19" t="s">
        <v>46</v>
      </c>
      <c r="C19" t="s">
        <v>689</v>
      </c>
      <c r="G19" s="2">
        <f>IFERROR(AVERAGEIF('Full Player List'!$C$2:$C$1737, $C19, 'Full Player List'!P$2:P$1737),0)</f>
        <v>65.2</v>
      </c>
      <c r="H19" s="2">
        <f>IFERROR(AVERAGEIF('Full Player List'!$C$2:$C$1737, $C19, 'Full Player List'!Q$2:Q$1737),0)</f>
        <v>6.2</v>
      </c>
      <c r="I19" s="2">
        <f>IFERROR(AVERAGEIF('Full Player List'!$C$2:$C$1737, $C19, 'Full Player List'!R$2:R$1737),0)</f>
        <v>726.8</v>
      </c>
      <c r="J19" s="2">
        <f>IFERROR(AVERAGEIF('Full Player List'!$C$2:$C$1737, $C19, 'Full Player List'!AA$2:AA$1737),0)</f>
        <v>14.566666666666668</v>
      </c>
      <c r="K19" s="2">
        <f>IFERROR(AVERAGEIF('Full Player List'!$C$2:$C$1737, $C19, 'Full Player List'!AB$2:AB$1737),0)</f>
        <v>22</v>
      </c>
      <c r="L19" s="2">
        <f>IFERROR(AVERAGEIF('Full Player List'!$C$2:$C$1737, $C19, 'Full Player List'!AC$2:AC$1737),0)</f>
        <v>5.333333333333333</v>
      </c>
      <c r="M19" s="2">
        <f>IFERROR(AVERAGEIF('Full Player List'!$C$2:$C$1737, $C19, 'Full Player List'!AD$2:AD$1737),0)</f>
        <v>0</v>
      </c>
      <c r="N19" s="2">
        <f>IFERROR(AVERAGEIF('Full Player List'!$C$2:$C$1737, $C19, 'Full Player List'!AE$2:AE$1737),0)</f>
        <v>101.33333333333333</v>
      </c>
      <c r="O19" s="2">
        <f>IFERROR(AVERAGEIF('Full Player List'!$C$2:$C$1737, $C19, 'Full Player List'!AF$2:AF$1737),0)</f>
        <v>11.459999999999999</v>
      </c>
      <c r="P19" s="2">
        <f>IFERROR(AVERAGEIF('Full Player List'!$C$2:$C$1737, $C19, 'Full Player List'!AG$2:AG$1737),0)</f>
        <v>51.8</v>
      </c>
      <c r="Q19" s="2">
        <f>IFERROR(AVERAGEIF('Full Player List'!$C$2:$C$1737, $C19, 'Full Player List'!AH$2:AH$1737),0)</f>
        <v>13.2</v>
      </c>
      <c r="R19" s="2">
        <f>IFERROR(AVERAGEIF('Full Player List'!$C$2:$C$1737, $C19, 'Full Player List'!AI$2:AI$1737),0)</f>
        <v>0.4</v>
      </c>
      <c r="S19" s="2">
        <f>IFERROR(AVERAGEIF('Full Player List'!$C$2:$C$1737, $C19, 'Full Player List'!AJ$2:AJ$1737),0)</f>
        <v>148</v>
      </c>
      <c r="T19" s="2">
        <f>IFERROR(AVERAGEIF('Full Player List'!$C$2:$C$1737, $C19, 'Full Player List'!AK$2:AK$1737),0)</f>
        <v>3.5</v>
      </c>
      <c r="U19" s="2">
        <f>IFERROR(AVERAGEIF('Full Player List'!$C$2:$C$1737, $C19, 'Full Player List'!AL$2:AL$1737),0)</f>
        <v>2.5</v>
      </c>
      <c r="V19" s="2">
        <f>IFERROR(AVERAGEIF('Full Player List'!$C$2:$C$1737, $C19, 'Full Player List'!AM$2:AM$1737),0)</f>
        <v>0</v>
      </c>
    </row>
    <row r="20" spans="1:22" x14ac:dyDescent="0.3">
      <c r="A20">
        <v>349682</v>
      </c>
      <c r="B20" t="s">
        <v>46</v>
      </c>
      <c r="C20" t="s">
        <v>690</v>
      </c>
      <c r="G20" s="2">
        <f>IFERROR(AVERAGEIF('Full Player List'!$C$2:$C$1737, $C20, 'Full Player List'!P$2:P$1737),0)</f>
        <v>40</v>
      </c>
      <c r="H20" s="2">
        <f>IFERROR(AVERAGEIF('Full Player List'!$C$2:$C$1737, $C20, 'Full Player List'!Q$2:Q$1737),0)</f>
        <v>5.4</v>
      </c>
      <c r="I20" s="2">
        <f>IFERROR(AVERAGEIF('Full Player List'!$C$2:$C$1737, $C20, 'Full Player List'!R$2:R$1737),0)</f>
        <v>537.6</v>
      </c>
      <c r="J20" s="2">
        <f>IFERROR(AVERAGEIF('Full Player List'!$C$2:$C$1737, $C20, 'Full Player List'!AA$2:AA$1737),0)</f>
        <v>0</v>
      </c>
      <c r="K20" s="2">
        <f>IFERROR(AVERAGEIF('Full Player List'!$C$2:$C$1737, $C20, 'Full Player List'!AB$2:AB$1737),0)</f>
        <v>0</v>
      </c>
      <c r="L20" s="2">
        <f>IFERROR(AVERAGEIF('Full Player List'!$C$2:$C$1737, $C20, 'Full Player List'!AC$2:AC$1737),0)</f>
        <v>0</v>
      </c>
      <c r="M20" s="2">
        <f>IFERROR(AVERAGEIF('Full Player List'!$C$2:$C$1737, $C20, 'Full Player List'!AD$2:AD$1737),0)</f>
        <v>0</v>
      </c>
      <c r="N20" s="2">
        <f>IFERROR(AVERAGEIF('Full Player List'!$C$2:$C$1737, $C20, 'Full Player List'!AE$2:AE$1737),0)</f>
        <v>0</v>
      </c>
      <c r="O20" s="2">
        <f>IFERROR(AVERAGEIF('Full Player List'!$C$2:$C$1737, $C20, 'Full Player List'!AF$2:AF$1737),0)</f>
        <v>7.3000000000000007</v>
      </c>
      <c r="P20" s="2">
        <f>IFERROR(AVERAGEIF('Full Player List'!$C$2:$C$1737, $C20, 'Full Player List'!AG$2:AG$1737),0)</f>
        <v>31</v>
      </c>
      <c r="Q20" s="2">
        <f>IFERROR(AVERAGEIF('Full Player List'!$C$2:$C$1737, $C20, 'Full Player List'!AH$2:AH$1737),0)</f>
        <v>9</v>
      </c>
      <c r="R20" s="2">
        <f>IFERROR(AVERAGEIF('Full Player List'!$C$2:$C$1737, $C20, 'Full Player List'!AI$2:AI$1737),0)</f>
        <v>0</v>
      </c>
      <c r="S20" s="2">
        <f>IFERROR(AVERAGEIF('Full Player List'!$C$2:$C$1737, $C20, 'Full Player List'!AJ$2:AJ$1737),0)</f>
        <v>65.5</v>
      </c>
      <c r="T20" s="2">
        <f>IFERROR(AVERAGEIF('Full Player List'!$C$2:$C$1737, $C20, 'Full Player List'!AK$2:AK$1737),0)</f>
        <v>2</v>
      </c>
      <c r="U20" s="2">
        <f>IFERROR(AVERAGEIF('Full Player List'!$C$2:$C$1737, $C20, 'Full Player List'!AL$2:AL$1737),0)</f>
        <v>1.3333333333333333</v>
      </c>
      <c r="V20" s="2">
        <f>IFERROR(AVERAGEIF('Full Player List'!$C$2:$C$1737, $C20, 'Full Player List'!AM$2:AM$1737),0)</f>
        <v>0</v>
      </c>
    </row>
    <row r="21" spans="1:22" x14ac:dyDescent="0.3">
      <c r="A21">
        <v>352510</v>
      </c>
      <c r="B21" t="s">
        <v>46</v>
      </c>
      <c r="C21" t="s">
        <v>737</v>
      </c>
      <c r="G21" s="2">
        <f>IFERROR(AVERAGEIF('Full Player List'!$C$2:$C$1737, $C21, 'Full Player List'!P$2:P$1737),0)</f>
        <v>33</v>
      </c>
      <c r="H21" s="2">
        <f>IFERROR(AVERAGEIF('Full Player List'!$C$2:$C$1737, $C21, 'Full Player List'!Q$2:Q$1737),0)</f>
        <v>4.333333333333333</v>
      </c>
      <c r="I21" s="2">
        <f>IFERROR(AVERAGEIF('Full Player List'!$C$2:$C$1737, $C21, 'Full Player List'!R$2:R$1737),0)</f>
        <v>506</v>
      </c>
      <c r="J21" s="2">
        <f>IFERROR(AVERAGEIF('Full Player List'!$C$2:$C$1737, $C21, 'Full Player List'!AA$2:AA$1737),0)</f>
        <v>0</v>
      </c>
      <c r="K21" s="2">
        <f>IFERROR(AVERAGEIF('Full Player List'!$C$2:$C$1737, $C21, 'Full Player List'!AB$2:AB$1737),0)</f>
        <v>0</v>
      </c>
      <c r="L21" s="2">
        <f>IFERROR(AVERAGEIF('Full Player List'!$C$2:$C$1737, $C21, 'Full Player List'!AC$2:AC$1737),0)</f>
        <v>0</v>
      </c>
      <c r="M21" s="2">
        <f>IFERROR(AVERAGEIF('Full Player List'!$C$2:$C$1737, $C21, 'Full Player List'!AD$2:AD$1737),0)</f>
        <v>0</v>
      </c>
      <c r="N21" s="2">
        <f>IFERROR(AVERAGEIF('Full Player List'!$C$2:$C$1737, $C21, 'Full Player List'!AE$2:AE$1737),0)</f>
        <v>0</v>
      </c>
      <c r="O21" s="2">
        <f>IFERROR(AVERAGEIF('Full Player List'!$C$2:$C$1737, $C21, 'Full Player List'!AF$2:AF$1737),0)</f>
        <v>0</v>
      </c>
      <c r="P21" s="2">
        <f>IFERROR(AVERAGEIF('Full Player List'!$C$2:$C$1737, $C21, 'Full Player List'!AG$2:AG$1737),0)</f>
        <v>0</v>
      </c>
      <c r="Q21" s="2">
        <f>IFERROR(AVERAGEIF('Full Player List'!$C$2:$C$1737, $C21, 'Full Player List'!AH$2:AH$1737),0)</f>
        <v>0</v>
      </c>
      <c r="R21" s="2">
        <f>IFERROR(AVERAGEIF('Full Player List'!$C$2:$C$1737, $C21, 'Full Player List'!AI$2:AI$1737),0)</f>
        <v>0</v>
      </c>
      <c r="S21" s="2">
        <f>IFERROR(AVERAGEIF('Full Player List'!$C$2:$C$1737, $C21, 'Full Player List'!AJ$2:AJ$1737),0)</f>
        <v>0</v>
      </c>
      <c r="T21" s="2">
        <f>IFERROR(AVERAGEIF('Full Player List'!$C$2:$C$1737, $C21, 'Full Player List'!AK$2:AK$1737),0)</f>
        <v>2</v>
      </c>
      <c r="U21" s="2">
        <f>IFERROR(AVERAGEIF('Full Player List'!$C$2:$C$1737, $C21, 'Full Player List'!AL$2:AL$1737),0)</f>
        <v>1</v>
      </c>
      <c r="V21" s="2">
        <f>IFERROR(AVERAGEIF('Full Player List'!$C$2:$C$1737, $C21, 'Full Player List'!AM$2:AM$1737),0)</f>
        <v>0</v>
      </c>
    </row>
    <row r="22" spans="1:22" x14ac:dyDescent="0.3">
      <c r="A22">
        <v>352880</v>
      </c>
      <c r="B22" t="s">
        <v>46</v>
      </c>
      <c r="C22" t="s">
        <v>738</v>
      </c>
      <c r="G22" s="2">
        <f>IFERROR(AVERAGEIF('Full Player List'!$C$2:$C$1737, $C22, 'Full Player List'!P$2:P$1737),0)</f>
        <v>64.5</v>
      </c>
      <c r="H22" s="2">
        <f>IFERROR(AVERAGEIF('Full Player List'!$C$2:$C$1737, $C22, 'Full Player List'!Q$2:Q$1737),0)</f>
        <v>7</v>
      </c>
      <c r="I22" s="2">
        <f>IFERROR(AVERAGEIF('Full Player List'!$C$2:$C$1737, $C22, 'Full Player List'!R$2:R$1737),0)</f>
        <v>694</v>
      </c>
      <c r="J22" s="2">
        <f>IFERROR(AVERAGEIF('Full Player List'!$C$2:$C$1737, $C22, 'Full Player List'!AA$2:AA$1737),0)</f>
        <v>20.75</v>
      </c>
      <c r="K22" s="2">
        <f>IFERROR(AVERAGEIF('Full Player List'!$C$2:$C$1737, $C22, 'Full Player List'!AB$2:AB$1737),0)</f>
        <v>38</v>
      </c>
      <c r="L22" s="2">
        <f>IFERROR(AVERAGEIF('Full Player List'!$C$2:$C$1737, $C22, 'Full Player List'!AC$2:AC$1737),0)</f>
        <v>10</v>
      </c>
      <c r="M22" s="2">
        <f>IFERROR(AVERAGEIF('Full Player List'!$C$2:$C$1737, $C22, 'Full Player List'!AD$2:AD$1737),0)</f>
        <v>0</v>
      </c>
      <c r="N22" s="2">
        <f>IFERROR(AVERAGEIF('Full Player List'!$C$2:$C$1737, $C22, 'Full Player List'!AE$2:AE$1737),0)</f>
        <v>213.5</v>
      </c>
      <c r="O22" s="2">
        <f>IFERROR(AVERAGEIF('Full Player List'!$C$2:$C$1737, $C22, 'Full Player List'!AF$2:AF$1737),0)</f>
        <v>3.6500000000000004</v>
      </c>
      <c r="P22" s="2">
        <f>IFERROR(AVERAGEIF('Full Player List'!$C$2:$C$1737, $C22, 'Full Player List'!AG$2:AG$1737),0)</f>
        <v>13.25</v>
      </c>
      <c r="Q22" s="2">
        <f>IFERROR(AVERAGEIF('Full Player List'!$C$2:$C$1737, $C22, 'Full Player List'!AH$2:AH$1737),0)</f>
        <v>5</v>
      </c>
      <c r="R22" s="2">
        <f>IFERROR(AVERAGEIF('Full Player List'!$C$2:$C$1737, $C22, 'Full Player List'!AI$2:AI$1737),0)</f>
        <v>0</v>
      </c>
      <c r="S22" s="2">
        <f>IFERROR(AVERAGEIF('Full Player List'!$C$2:$C$1737, $C22, 'Full Player List'!AJ$2:AJ$1737),0)</f>
        <v>25.75</v>
      </c>
      <c r="T22" s="2">
        <f>IFERROR(AVERAGEIF('Full Player List'!$C$2:$C$1737, $C22, 'Full Player List'!AK$2:AK$1737),0)</f>
        <v>1</v>
      </c>
      <c r="U22" s="2">
        <f>IFERROR(AVERAGEIF('Full Player List'!$C$2:$C$1737, $C22, 'Full Player List'!AL$2:AL$1737),0)</f>
        <v>1</v>
      </c>
      <c r="V22" s="2">
        <f>IFERROR(AVERAGEIF('Full Player List'!$C$2:$C$1737, $C22, 'Full Player List'!AM$2:AM$1737),0)</f>
        <v>0</v>
      </c>
    </row>
    <row r="23" spans="1:22" x14ac:dyDescent="0.3">
      <c r="A23">
        <v>359846</v>
      </c>
      <c r="B23" t="s">
        <v>46</v>
      </c>
      <c r="C23" t="s">
        <v>766</v>
      </c>
      <c r="G23" s="2">
        <f>IFERROR(AVERAGEIF('Full Player List'!$C$2:$C$1737, $C23, 'Full Player List'!P$2:P$1737),0)</f>
        <v>48.75</v>
      </c>
      <c r="H23" s="2">
        <f>IFERROR(AVERAGEIF('Full Player List'!$C$2:$C$1737, $C23, 'Full Player List'!Q$2:Q$1737),0)</f>
        <v>3.25</v>
      </c>
      <c r="I23" s="2">
        <f>IFERROR(AVERAGEIF('Full Player List'!$C$2:$C$1737, $C23, 'Full Player List'!R$2:R$1737),0)</f>
        <v>559.75</v>
      </c>
      <c r="J23" s="2">
        <f>IFERROR(AVERAGEIF('Full Player List'!$C$2:$C$1737, $C23, 'Full Player List'!AA$2:AA$1737),0)</f>
        <v>0</v>
      </c>
      <c r="K23" s="2">
        <f>IFERROR(AVERAGEIF('Full Player List'!$C$2:$C$1737, $C23, 'Full Player List'!AB$2:AB$1737),0)</f>
        <v>0</v>
      </c>
      <c r="L23" s="2">
        <f>IFERROR(AVERAGEIF('Full Player List'!$C$2:$C$1737, $C23, 'Full Player List'!AC$2:AC$1737),0)</f>
        <v>0</v>
      </c>
      <c r="M23" s="2">
        <f>IFERROR(AVERAGEIF('Full Player List'!$C$2:$C$1737, $C23, 'Full Player List'!AD$2:AD$1737),0)</f>
        <v>0</v>
      </c>
      <c r="N23" s="2">
        <f>IFERROR(AVERAGEIF('Full Player List'!$C$2:$C$1737, $C23, 'Full Player List'!AE$2:AE$1737),0)</f>
        <v>0</v>
      </c>
      <c r="O23" s="2">
        <f>IFERROR(AVERAGEIF('Full Player List'!$C$2:$C$1737, $C23, 'Full Player List'!AF$2:AF$1737),0)</f>
        <v>-4</v>
      </c>
      <c r="P23" s="2">
        <f>IFERROR(AVERAGEIF('Full Player List'!$C$2:$C$1737, $C23, 'Full Player List'!AG$2:AG$1737),0)</f>
        <v>-4</v>
      </c>
      <c r="Q23" s="2">
        <f>IFERROR(AVERAGEIF('Full Player List'!$C$2:$C$1737, $C23, 'Full Player List'!AH$2:AH$1737),0)</f>
        <v>1</v>
      </c>
      <c r="R23" s="2">
        <f>IFERROR(AVERAGEIF('Full Player List'!$C$2:$C$1737, $C23, 'Full Player List'!AI$2:AI$1737),0)</f>
        <v>0</v>
      </c>
      <c r="S23" s="2">
        <f>IFERROR(AVERAGEIF('Full Player List'!$C$2:$C$1737, $C23, 'Full Player List'!AJ$2:AJ$1737),0)</f>
        <v>-4</v>
      </c>
      <c r="T23" s="2">
        <f>IFERROR(AVERAGEIF('Full Player List'!$C$2:$C$1737, $C23, 'Full Player List'!AK$2:AK$1737),0)</f>
        <v>1.3333333333333333</v>
      </c>
      <c r="U23" s="2">
        <f>IFERROR(AVERAGEIF('Full Player List'!$C$2:$C$1737, $C23, 'Full Player List'!AL$2:AL$1737),0)</f>
        <v>0.33333333333333331</v>
      </c>
      <c r="V23" s="2">
        <f>IFERROR(AVERAGEIF('Full Player List'!$C$2:$C$1737, $C23, 'Full Player List'!AM$2:AM$1737),0)</f>
        <v>0</v>
      </c>
    </row>
    <row r="24" spans="1:22" x14ac:dyDescent="0.3">
      <c r="A24">
        <v>360774</v>
      </c>
      <c r="B24" t="s">
        <v>46</v>
      </c>
      <c r="C24" t="s">
        <v>772</v>
      </c>
      <c r="G24" s="2">
        <f>IFERROR(AVERAGEIF('Full Player List'!$C$2:$C$1737, $C24, 'Full Player List'!P$2:P$1737),0)</f>
        <v>54.25</v>
      </c>
      <c r="H24" s="2">
        <f>IFERROR(AVERAGEIF('Full Player List'!$C$2:$C$1737, $C24, 'Full Player List'!Q$2:Q$1737),0)</f>
        <v>4.75</v>
      </c>
      <c r="I24" s="2">
        <f>IFERROR(AVERAGEIF('Full Player List'!$C$2:$C$1737, $C24, 'Full Player List'!R$2:R$1737),0)</f>
        <v>672.75</v>
      </c>
      <c r="J24" s="2">
        <f>IFERROR(AVERAGEIF('Full Player List'!$C$2:$C$1737, $C24, 'Full Player List'!AA$2:AA$1737),0)</f>
        <v>20</v>
      </c>
      <c r="K24" s="2">
        <f>IFERROR(AVERAGEIF('Full Player List'!$C$2:$C$1737, $C24, 'Full Player List'!AB$2:AB$1737),0)</f>
        <v>20</v>
      </c>
      <c r="L24" s="2">
        <f>IFERROR(AVERAGEIF('Full Player List'!$C$2:$C$1737, $C24, 'Full Player List'!AC$2:AC$1737),0)</f>
        <v>1</v>
      </c>
      <c r="M24" s="2">
        <f>IFERROR(AVERAGEIF('Full Player List'!$C$2:$C$1737, $C24, 'Full Player List'!AD$2:AD$1737),0)</f>
        <v>0</v>
      </c>
      <c r="N24" s="2">
        <f>IFERROR(AVERAGEIF('Full Player List'!$C$2:$C$1737, $C24, 'Full Player List'!AE$2:AE$1737),0)</f>
        <v>20</v>
      </c>
      <c r="O24" s="2">
        <f>IFERROR(AVERAGEIF('Full Player List'!$C$2:$C$1737, $C24, 'Full Player List'!AF$2:AF$1737),0)</f>
        <v>1.5666666666666667</v>
      </c>
      <c r="P24" s="2">
        <f>IFERROR(AVERAGEIF('Full Player List'!$C$2:$C$1737, $C24, 'Full Player List'!AG$2:AG$1737),0)</f>
        <v>3</v>
      </c>
      <c r="Q24" s="2">
        <f>IFERROR(AVERAGEIF('Full Player List'!$C$2:$C$1737, $C24, 'Full Player List'!AH$2:AH$1737),0)</f>
        <v>1.6666666666666667</v>
      </c>
      <c r="R24" s="2">
        <f>IFERROR(AVERAGEIF('Full Player List'!$C$2:$C$1737, $C24, 'Full Player List'!AI$2:AI$1737),0)</f>
        <v>0</v>
      </c>
      <c r="S24" s="2">
        <f>IFERROR(AVERAGEIF('Full Player List'!$C$2:$C$1737, $C24, 'Full Player List'!AJ$2:AJ$1737),0)</f>
        <v>4.666666666666667</v>
      </c>
      <c r="T24" s="2">
        <f>IFERROR(AVERAGEIF('Full Player List'!$C$2:$C$1737, $C24, 'Full Player List'!AK$2:AK$1737),0)</f>
        <v>1.25</v>
      </c>
      <c r="U24" s="2">
        <f>IFERROR(AVERAGEIF('Full Player List'!$C$2:$C$1737, $C24, 'Full Player List'!AL$2:AL$1737),0)</f>
        <v>0.75</v>
      </c>
      <c r="V24" s="2">
        <f>IFERROR(AVERAGEIF('Full Player List'!$C$2:$C$1737, $C24, 'Full Player List'!AM$2:AM$1737),0)</f>
        <v>0</v>
      </c>
    </row>
    <row r="25" spans="1:22" x14ac:dyDescent="0.3">
      <c r="A25">
        <v>361664</v>
      </c>
      <c r="B25" t="s">
        <v>46</v>
      </c>
      <c r="C25" t="s">
        <v>778</v>
      </c>
      <c r="G25" s="2">
        <f>IFERROR(AVERAGEIF('Full Player List'!$C$2:$C$1737, $C25, 'Full Player List'!P$2:P$1737),0)</f>
        <v>29.5</v>
      </c>
      <c r="H25" s="2">
        <f>IFERROR(AVERAGEIF('Full Player List'!$C$2:$C$1737, $C25, 'Full Player List'!Q$2:Q$1737),0)</f>
        <v>4.75</v>
      </c>
      <c r="I25" s="2">
        <f>IFERROR(AVERAGEIF('Full Player List'!$C$2:$C$1737, $C25, 'Full Player List'!R$2:R$1737),0)</f>
        <v>477.25</v>
      </c>
      <c r="J25" s="2">
        <f>IFERROR(AVERAGEIF('Full Player List'!$C$2:$C$1737, $C25, 'Full Player List'!AA$2:AA$1737),0)</f>
        <v>17.7</v>
      </c>
      <c r="K25" s="2">
        <f>IFERROR(AVERAGEIF('Full Player List'!$C$2:$C$1737, $C25, 'Full Player List'!AB$2:AB$1737),0)</f>
        <v>21.666666666666668</v>
      </c>
      <c r="L25" s="2">
        <f>IFERROR(AVERAGEIF('Full Player List'!$C$2:$C$1737, $C25, 'Full Player List'!AC$2:AC$1737),0)</f>
        <v>4.333333333333333</v>
      </c>
      <c r="M25" s="2">
        <f>IFERROR(AVERAGEIF('Full Player List'!$C$2:$C$1737, $C25, 'Full Player List'!AD$2:AD$1737),0)</f>
        <v>0</v>
      </c>
      <c r="N25" s="2">
        <f>IFERROR(AVERAGEIF('Full Player List'!$C$2:$C$1737, $C25, 'Full Player List'!AE$2:AE$1737),0)</f>
        <v>73.333333333333329</v>
      </c>
      <c r="O25" s="2">
        <f>IFERROR(AVERAGEIF('Full Player List'!$C$2:$C$1737, $C25, 'Full Player List'!AF$2:AF$1737),0)</f>
        <v>13.275</v>
      </c>
      <c r="P25" s="2">
        <f>IFERROR(AVERAGEIF('Full Player List'!$C$2:$C$1737, $C25, 'Full Player List'!AG$2:AG$1737),0)</f>
        <v>16.5</v>
      </c>
      <c r="Q25" s="2">
        <f>IFERROR(AVERAGEIF('Full Player List'!$C$2:$C$1737, $C25, 'Full Player List'!AH$2:AH$1737),0)</f>
        <v>2.75</v>
      </c>
      <c r="R25" s="2">
        <f>IFERROR(AVERAGEIF('Full Player List'!$C$2:$C$1737, $C25, 'Full Player List'!AI$2:AI$1737),0)</f>
        <v>0</v>
      </c>
      <c r="S25" s="2">
        <f>IFERROR(AVERAGEIF('Full Player List'!$C$2:$C$1737, $C25, 'Full Player List'!AJ$2:AJ$1737),0)</f>
        <v>29.25</v>
      </c>
      <c r="T25" s="2">
        <f>IFERROR(AVERAGEIF('Full Player List'!$C$2:$C$1737, $C25, 'Full Player List'!AK$2:AK$1737),0)</f>
        <v>0</v>
      </c>
      <c r="U25" s="2">
        <f>IFERROR(AVERAGEIF('Full Player List'!$C$2:$C$1737, $C25, 'Full Player List'!AL$2:AL$1737),0)</f>
        <v>0</v>
      </c>
      <c r="V25" s="2">
        <f>IFERROR(AVERAGEIF('Full Player List'!$C$2:$C$1737, $C25, 'Full Player List'!AM$2:AM$1737),0)</f>
        <v>0</v>
      </c>
    </row>
    <row r="26" spans="1:22" x14ac:dyDescent="0.3">
      <c r="A26">
        <v>361951</v>
      </c>
      <c r="B26" t="s">
        <v>46</v>
      </c>
      <c r="C26" t="s">
        <v>786</v>
      </c>
      <c r="G26" s="2">
        <f>IFERROR(AVERAGEIF('Full Player List'!$C$2:$C$1737, $C26, 'Full Player List'!P$2:P$1737),0)</f>
        <v>22</v>
      </c>
      <c r="H26" s="2">
        <f>IFERROR(AVERAGEIF('Full Player List'!$C$2:$C$1737, $C26, 'Full Player List'!Q$2:Q$1737),0)</f>
        <v>1.75</v>
      </c>
      <c r="I26" s="2">
        <f>IFERROR(AVERAGEIF('Full Player List'!$C$2:$C$1737, $C26, 'Full Player List'!R$2:R$1737),0)</f>
        <v>288.25</v>
      </c>
      <c r="J26" s="2">
        <f>IFERROR(AVERAGEIF('Full Player List'!$C$2:$C$1737, $C26, 'Full Player List'!AA$2:AA$1737),0)</f>
        <v>0</v>
      </c>
      <c r="K26" s="2">
        <f>IFERROR(AVERAGEIF('Full Player List'!$C$2:$C$1737, $C26, 'Full Player List'!AB$2:AB$1737),0)</f>
        <v>0</v>
      </c>
      <c r="L26" s="2">
        <f>IFERROR(AVERAGEIF('Full Player List'!$C$2:$C$1737, $C26, 'Full Player List'!AC$2:AC$1737),0)</f>
        <v>0</v>
      </c>
      <c r="M26" s="2">
        <f>IFERROR(AVERAGEIF('Full Player List'!$C$2:$C$1737, $C26, 'Full Player List'!AD$2:AD$1737),0)</f>
        <v>0</v>
      </c>
      <c r="N26" s="2">
        <f>IFERROR(AVERAGEIF('Full Player List'!$C$2:$C$1737, $C26, 'Full Player List'!AE$2:AE$1737),0)</f>
        <v>0</v>
      </c>
      <c r="O26" s="2">
        <f>IFERROR(AVERAGEIF('Full Player List'!$C$2:$C$1737, $C26, 'Full Player List'!AF$2:AF$1737),0)</f>
        <v>0</v>
      </c>
      <c r="P26" s="2">
        <f>IFERROR(AVERAGEIF('Full Player List'!$C$2:$C$1737, $C26, 'Full Player List'!AG$2:AG$1737),0)</f>
        <v>0</v>
      </c>
      <c r="Q26" s="2">
        <f>IFERROR(AVERAGEIF('Full Player List'!$C$2:$C$1737, $C26, 'Full Player List'!AH$2:AH$1737),0)</f>
        <v>0</v>
      </c>
      <c r="R26" s="2">
        <f>IFERROR(AVERAGEIF('Full Player List'!$C$2:$C$1737, $C26, 'Full Player List'!AI$2:AI$1737),0)</f>
        <v>0</v>
      </c>
      <c r="S26" s="2">
        <f>IFERROR(AVERAGEIF('Full Player List'!$C$2:$C$1737, $C26, 'Full Player List'!AJ$2:AJ$1737),0)</f>
        <v>0</v>
      </c>
      <c r="T26" s="2">
        <f>IFERROR(AVERAGEIF('Full Player List'!$C$2:$C$1737, $C26, 'Full Player List'!AK$2:AK$1737),0)</f>
        <v>1</v>
      </c>
      <c r="U26" s="2">
        <f>IFERROR(AVERAGEIF('Full Player List'!$C$2:$C$1737, $C26, 'Full Player List'!AL$2:AL$1737),0)</f>
        <v>0</v>
      </c>
      <c r="V26" s="2">
        <f>IFERROR(AVERAGEIF('Full Player List'!$C$2:$C$1737, $C26, 'Full Player List'!AM$2:AM$1737),0)</f>
        <v>0</v>
      </c>
    </row>
    <row r="27" spans="1:22" x14ac:dyDescent="0.3">
      <c r="A27">
        <v>361989</v>
      </c>
      <c r="B27" t="s">
        <v>46</v>
      </c>
      <c r="C27" t="s">
        <v>787</v>
      </c>
      <c r="G27" s="2">
        <f>IFERROR(AVERAGEIF('Full Player List'!$C$2:$C$1737, $C27, 'Full Player List'!P$2:P$1737),0)</f>
        <v>40.5</v>
      </c>
      <c r="H27" s="2">
        <f>IFERROR(AVERAGEIF('Full Player List'!$C$2:$C$1737, $C27, 'Full Player List'!Q$2:Q$1737),0)</f>
        <v>3</v>
      </c>
      <c r="I27" s="2">
        <f>IFERROR(AVERAGEIF('Full Player List'!$C$2:$C$1737, $C27, 'Full Player List'!R$2:R$1737),0)</f>
        <v>491.5</v>
      </c>
      <c r="J27" s="2">
        <f>IFERROR(AVERAGEIF('Full Player List'!$C$2:$C$1737, $C27, 'Full Player List'!AA$2:AA$1737),0)</f>
        <v>0</v>
      </c>
      <c r="K27" s="2">
        <f>IFERROR(AVERAGEIF('Full Player List'!$C$2:$C$1737, $C27, 'Full Player List'!AB$2:AB$1737),0)</f>
        <v>0</v>
      </c>
      <c r="L27" s="2">
        <f>IFERROR(AVERAGEIF('Full Player List'!$C$2:$C$1737, $C27, 'Full Player List'!AC$2:AC$1737),0)</f>
        <v>0</v>
      </c>
      <c r="M27" s="2">
        <f>IFERROR(AVERAGEIF('Full Player List'!$C$2:$C$1737, $C27, 'Full Player List'!AD$2:AD$1737),0)</f>
        <v>0</v>
      </c>
      <c r="N27" s="2">
        <f>IFERROR(AVERAGEIF('Full Player List'!$C$2:$C$1737, $C27, 'Full Player List'!AE$2:AE$1737),0)</f>
        <v>0</v>
      </c>
      <c r="O27" s="2">
        <f>IFERROR(AVERAGEIF('Full Player List'!$C$2:$C$1737, $C27, 'Full Player List'!AF$2:AF$1737),0)</f>
        <v>0</v>
      </c>
      <c r="P27" s="2">
        <f>IFERROR(AVERAGEIF('Full Player List'!$C$2:$C$1737, $C27, 'Full Player List'!AG$2:AG$1737),0)</f>
        <v>0</v>
      </c>
      <c r="Q27" s="2">
        <f>IFERROR(AVERAGEIF('Full Player List'!$C$2:$C$1737, $C27, 'Full Player List'!AH$2:AH$1737),0)</f>
        <v>0</v>
      </c>
      <c r="R27" s="2">
        <f>IFERROR(AVERAGEIF('Full Player List'!$C$2:$C$1737, $C27, 'Full Player List'!AI$2:AI$1737),0)</f>
        <v>0</v>
      </c>
      <c r="S27" s="2">
        <f>IFERROR(AVERAGEIF('Full Player List'!$C$2:$C$1737, $C27, 'Full Player List'!AJ$2:AJ$1737),0)</f>
        <v>0</v>
      </c>
      <c r="T27" s="2">
        <f>IFERROR(AVERAGEIF('Full Player List'!$C$2:$C$1737, $C27, 'Full Player List'!AK$2:AK$1737),0)</f>
        <v>1.5</v>
      </c>
      <c r="U27" s="2">
        <f>IFERROR(AVERAGEIF('Full Player List'!$C$2:$C$1737, $C27, 'Full Player List'!AL$2:AL$1737),0)</f>
        <v>1</v>
      </c>
      <c r="V27" s="2">
        <f>IFERROR(AVERAGEIF('Full Player List'!$C$2:$C$1737, $C27, 'Full Player List'!AM$2:AM$1737),0)</f>
        <v>0</v>
      </c>
    </row>
    <row r="28" spans="1:22" x14ac:dyDescent="0.3">
      <c r="A28">
        <v>350271</v>
      </c>
      <c r="B28" t="s">
        <v>46</v>
      </c>
      <c r="C28" t="s">
        <v>706</v>
      </c>
      <c r="G28" s="2">
        <f>IFERROR(AVERAGEIF('Full Player List'!$C$2:$C$1737, $C28, 'Full Player List'!P$2:P$1737),0)</f>
        <v>35</v>
      </c>
      <c r="H28" s="2">
        <f>IFERROR(AVERAGEIF('Full Player List'!$C$2:$C$1737, $C28, 'Full Player List'!Q$2:Q$1737),0)</f>
        <v>3.8</v>
      </c>
      <c r="I28" s="2">
        <f>IFERROR(AVERAGEIF('Full Player List'!$C$2:$C$1737, $C28, 'Full Player List'!R$2:R$1737),0)</f>
        <v>539.20000000000005</v>
      </c>
      <c r="J28" s="2">
        <f>IFERROR(AVERAGEIF('Full Player List'!$C$2:$C$1737, $C28, 'Full Player List'!AA$2:AA$1737),0)</f>
        <v>0</v>
      </c>
      <c r="K28" s="2">
        <f>IFERROR(AVERAGEIF('Full Player List'!$C$2:$C$1737, $C28, 'Full Player List'!AB$2:AB$1737),0)</f>
        <v>0</v>
      </c>
      <c r="L28" s="2">
        <f>IFERROR(AVERAGEIF('Full Player List'!$C$2:$C$1737, $C28, 'Full Player List'!AC$2:AC$1737),0)</f>
        <v>0</v>
      </c>
      <c r="M28" s="2">
        <f>IFERROR(AVERAGEIF('Full Player List'!$C$2:$C$1737, $C28, 'Full Player List'!AD$2:AD$1737),0)</f>
        <v>0</v>
      </c>
      <c r="N28" s="2">
        <f>IFERROR(AVERAGEIF('Full Player List'!$C$2:$C$1737, $C28, 'Full Player List'!AE$2:AE$1737),0)</f>
        <v>0</v>
      </c>
      <c r="O28" s="2">
        <f>IFERROR(AVERAGEIF('Full Player List'!$C$2:$C$1737, $C28, 'Full Player List'!AF$2:AF$1737),0)</f>
        <v>0</v>
      </c>
      <c r="P28" s="2">
        <f>IFERROR(AVERAGEIF('Full Player List'!$C$2:$C$1737, $C28, 'Full Player List'!AG$2:AG$1737),0)</f>
        <v>0</v>
      </c>
      <c r="Q28" s="2">
        <f>IFERROR(AVERAGEIF('Full Player List'!$C$2:$C$1737, $C28, 'Full Player List'!AH$2:AH$1737),0)</f>
        <v>0</v>
      </c>
      <c r="R28" s="2">
        <f>IFERROR(AVERAGEIF('Full Player List'!$C$2:$C$1737, $C28, 'Full Player List'!AI$2:AI$1737),0)</f>
        <v>0</v>
      </c>
      <c r="S28" s="2">
        <f>IFERROR(AVERAGEIF('Full Player List'!$C$2:$C$1737, $C28, 'Full Player List'!AJ$2:AJ$1737),0)</f>
        <v>0</v>
      </c>
      <c r="T28" s="2">
        <f>IFERROR(AVERAGEIF('Full Player List'!$C$2:$C$1737, $C28, 'Full Player List'!AK$2:AK$1737),0)</f>
        <v>0</v>
      </c>
      <c r="U28" s="2">
        <f>IFERROR(AVERAGEIF('Full Player List'!$C$2:$C$1737, $C28, 'Full Player List'!AL$2:AL$1737),0)</f>
        <v>0</v>
      </c>
      <c r="V28" s="2">
        <f>IFERROR(AVERAGEIF('Full Player List'!$C$2:$C$1737, $C28, 'Full Player List'!AM$2:AM$1737),0)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F3DD-994F-45B0-9B2E-07D345FC8DD4}">
  <dimension ref="A1:L12"/>
  <sheetViews>
    <sheetView zoomScale="81" workbookViewId="0">
      <selection activeCell="A12" sqref="A12"/>
    </sheetView>
  </sheetViews>
  <sheetFormatPr defaultRowHeight="14.4" x14ac:dyDescent="0.3"/>
  <cols>
    <col min="3" max="3" width="16.88671875" bestFit="1" customWidth="1"/>
    <col min="7" max="7" width="10.5546875" bestFit="1" customWidth="1"/>
    <col min="8" max="8" width="9.5546875" bestFit="1" customWidth="1"/>
    <col min="9" max="9" width="11.5546875" bestFit="1" customWidth="1"/>
    <col min="10" max="12" width="9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36</v>
      </c>
      <c r="K1" t="s">
        <v>37</v>
      </c>
    </row>
    <row r="2" spans="1:12" x14ac:dyDescent="0.3">
      <c r="A2">
        <v>325932</v>
      </c>
      <c r="B2" t="s">
        <v>142</v>
      </c>
      <c r="C2" t="s">
        <v>537</v>
      </c>
      <c r="G2" s="1">
        <f>IFERROR(AVERAGEIF('Full Player List'!$C$2:$C$1737,$C2,'Full Player List'!P$2:P$1737),0)</f>
        <v>25.833333333333332</v>
      </c>
      <c r="H2" s="1">
        <f>IFERROR(AVERAGEIF('Full Player List'!$C$2:$C$1737,$C2,'Full Player List'!Q$2:Q$1737),0)</f>
        <v>4.166666666666667</v>
      </c>
      <c r="I2" s="1">
        <f>IFERROR(AVERAGEIF('Full Player List'!$C$2:$C$1737,$C2,'Full Player List'!R$2:R$1737),0)</f>
        <v>319</v>
      </c>
      <c r="J2" s="1">
        <f>IFERROR(AVERAGEIF('Full Player List'!$C$2:$C$1737,$C2,'Full Player List'!AK$2:AK$1737),0)</f>
        <v>1.6666666666666667</v>
      </c>
      <c r="K2" s="1">
        <f>IFERROR(AVERAGEIF('Full Player List'!$C$2:$C$1737,$C2,'Full Player List'!AL$2:AL$1737),0)</f>
        <v>0.66666666666666663</v>
      </c>
      <c r="L2" s="1">
        <f>IFERROR(AVERAGEIF('Full Player List'!$C$2:$C$1737,$C2,'Full Player List'!AM$2:AM$1737),0)</f>
        <v>0</v>
      </c>
    </row>
    <row r="3" spans="1:12" x14ac:dyDescent="0.3">
      <c r="A3">
        <v>349235</v>
      </c>
      <c r="B3" t="s">
        <v>142</v>
      </c>
      <c r="C3" t="s">
        <v>679</v>
      </c>
      <c r="G3" s="1">
        <f>IFERROR(AVERAGEIF('Full Player List'!$C$2:$C$1737,$C3,'Full Player List'!P$2:P$1737),0)</f>
        <v>24.4</v>
      </c>
      <c r="H3" s="1">
        <f>IFERROR(AVERAGEIF('Full Player List'!$C$2:$C$1737,$C3,'Full Player List'!Q$2:Q$1737),0)</f>
        <v>2.4</v>
      </c>
      <c r="I3" s="1">
        <f>IFERROR(AVERAGEIF('Full Player List'!$C$2:$C$1737,$C3,'Full Player List'!R$2:R$1737),0)</f>
        <v>307.39999999999998</v>
      </c>
      <c r="J3" s="1">
        <f>IFERROR(AVERAGEIF('Full Player List'!$C$2:$C$1737,$C3,'Full Player List'!AK$2:AK$1737),0)</f>
        <v>1</v>
      </c>
      <c r="K3" s="1">
        <f>IFERROR(AVERAGEIF('Full Player List'!$C$2:$C$1737,$C3,'Full Player List'!AL$2:AL$1737),0)</f>
        <v>1</v>
      </c>
      <c r="L3" s="1">
        <f>IFERROR(AVERAGEIF('Full Player List'!$C$2:$C$1737,$C3,'Full Player List'!AM$2:AM$1737),0)</f>
        <v>0</v>
      </c>
    </row>
    <row r="4" spans="1:12" x14ac:dyDescent="0.3">
      <c r="A4">
        <v>351068</v>
      </c>
      <c r="B4" t="s">
        <v>142</v>
      </c>
      <c r="C4" t="s">
        <v>724</v>
      </c>
      <c r="G4" s="1">
        <f>IFERROR(AVERAGEIF('Full Player List'!$C$2:$C$1737,$C4,'Full Player List'!P$2:P$1737),0)</f>
        <v>18.5</v>
      </c>
      <c r="H4" s="1">
        <f>IFERROR(AVERAGEIF('Full Player List'!$C$2:$C$1737,$C4,'Full Player List'!Q$2:Q$1737),0)</f>
        <v>1</v>
      </c>
      <c r="I4" s="1">
        <f>IFERROR(AVERAGEIF('Full Player List'!$C$2:$C$1737,$C4,'Full Player List'!R$2:R$1737),0)</f>
        <v>223.25</v>
      </c>
      <c r="J4" s="1">
        <f>IFERROR(AVERAGEIF('Full Player List'!$C$2:$C$1737,$C4,'Full Player List'!AK$2:AK$1737),0)</f>
        <v>1</v>
      </c>
      <c r="K4" s="1">
        <f>IFERROR(AVERAGEIF('Full Player List'!$C$2:$C$1737,$C4,'Full Player List'!AL$2:AL$1737),0)</f>
        <v>0</v>
      </c>
      <c r="L4" s="1">
        <f>IFERROR(AVERAGEIF('Full Player List'!$C$2:$C$1737,$C4,'Full Player List'!AM$2:AM$1737),0)</f>
        <v>0</v>
      </c>
    </row>
    <row r="5" spans="1:12" x14ac:dyDescent="0.3">
      <c r="A5">
        <v>351662</v>
      </c>
      <c r="B5" t="s">
        <v>142</v>
      </c>
      <c r="C5" t="s">
        <v>734</v>
      </c>
      <c r="G5" s="1">
        <f>IFERROR(AVERAGEIF('Full Player List'!$C$2:$C$1737,$C5,'Full Player List'!P$2:P$1737),0)</f>
        <v>22.4</v>
      </c>
      <c r="H5" s="1">
        <f>IFERROR(AVERAGEIF('Full Player List'!$C$2:$C$1737,$C5,'Full Player List'!Q$2:Q$1737),0)</f>
        <v>2.8</v>
      </c>
      <c r="I5" s="1">
        <f>IFERROR(AVERAGEIF('Full Player List'!$C$2:$C$1737,$C5,'Full Player List'!R$2:R$1737),0)</f>
        <v>306.2</v>
      </c>
      <c r="J5" s="1">
        <f>IFERROR(AVERAGEIF('Full Player List'!$C$2:$C$1737,$C5,'Full Player List'!AK$2:AK$1737),0)</f>
        <v>1</v>
      </c>
      <c r="K5" s="1">
        <f>IFERROR(AVERAGEIF('Full Player List'!$C$2:$C$1737,$C5,'Full Player List'!AL$2:AL$1737),0)</f>
        <v>1</v>
      </c>
      <c r="L5" s="1">
        <f>IFERROR(AVERAGEIF('Full Player List'!$C$2:$C$1737,$C5,'Full Player List'!AM$2:AM$1737),0)</f>
        <v>0</v>
      </c>
    </row>
    <row r="6" spans="1:12" x14ac:dyDescent="0.3">
      <c r="A6">
        <v>326147</v>
      </c>
      <c r="B6" t="s">
        <v>142</v>
      </c>
      <c r="C6" t="s">
        <v>541</v>
      </c>
      <c r="G6" s="1">
        <f>IFERROR(AVERAGEIF('Full Player List'!$C$2:$C$1737,$C6,'Full Player List'!P$2:P$1737),0)</f>
        <v>17</v>
      </c>
      <c r="H6" s="1">
        <f>IFERROR(AVERAGEIF('Full Player List'!$C$2:$C$1737,$C6,'Full Player List'!Q$2:Q$1737),0)</f>
        <v>4</v>
      </c>
      <c r="I6" s="1">
        <f>IFERROR(AVERAGEIF('Full Player List'!$C$2:$C$1737,$C6,'Full Player List'!R$2:R$1737),0)</f>
        <v>237.66666666666666</v>
      </c>
      <c r="J6" s="1">
        <f>IFERROR(AVERAGEIF('Full Player List'!$C$2:$C$1737,$C6,'Full Player List'!AK$2:AK$1737),0)</f>
        <v>2</v>
      </c>
      <c r="K6" s="1">
        <f>IFERROR(AVERAGEIF('Full Player List'!$C$2:$C$1737,$C6,'Full Player List'!AL$2:AL$1737),0)</f>
        <v>2</v>
      </c>
      <c r="L6" s="1">
        <f>IFERROR(AVERAGEIF('Full Player List'!$C$2:$C$1737,$C6,'Full Player List'!AM$2:AM$1737),0)</f>
        <v>0</v>
      </c>
    </row>
    <row r="7" spans="1:12" x14ac:dyDescent="0.3">
      <c r="A7">
        <v>326564</v>
      </c>
      <c r="B7" t="s">
        <v>142</v>
      </c>
      <c r="C7" t="s">
        <v>559</v>
      </c>
      <c r="G7" s="1">
        <f>IFERROR(AVERAGEIF('Full Player List'!$C$2:$C$1737,$C7,'Full Player List'!P$2:P$1737),0)</f>
        <v>16.399999999999999</v>
      </c>
      <c r="H7" s="1">
        <f>IFERROR(AVERAGEIF('Full Player List'!$C$2:$C$1737,$C7,'Full Player List'!Q$2:Q$1737),0)</f>
        <v>2</v>
      </c>
      <c r="I7" s="1">
        <f>IFERROR(AVERAGEIF('Full Player List'!$C$2:$C$1737,$C7,'Full Player List'!R$2:R$1737),0)</f>
        <v>222.2</v>
      </c>
      <c r="J7" s="1">
        <f>IFERROR(AVERAGEIF('Full Player List'!$C$2:$C$1737,$C7,'Full Player List'!AK$2:AK$1737),0)</f>
        <v>0</v>
      </c>
      <c r="K7" s="1">
        <f>IFERROR(AVERAGEIF('Full Player List'!$C$2:$C$1737,$C7,'Full Player List'!AL$2:AL$1737),0)</f>
        <v>0</v>
      </c>
      <c r="L7" s="1">
        <f>IFERROR(AVERAGEIF('Full Player List'!$C$2:$C$1737,$C7,'Full Player List'!AM$2:AM$1737),0)</f>
        <v>0</v>
      </c>
    </row>
    <row r="8" spans="1:12" x14ac:dyDescent="0.3">
      <c r="A8">
        <v>339883</v>
      </c>
      <c r="B8" t="s">
        <v>142</v>
      </c>
      <c r="C8" t="s">
        <v>645</v>
      </c>
      <c r="G8" s="1">
        <f>IFERROR(AVERAGEIF('Full Player List'!$C$2:$C$1737,$C8,'Full Player List'!P$2:P$1737),0)</f>
        <v>22.4</v>
      </c>
      <c r="H8" s="1">
        <f>IFERROR(AVERAGEIF('Full Player List'!$C$2:$C$1737,$C8,'Full Player List'!Q$2:Q$1737),0)</f>
        <v>4.8</v>
      </c>
      <c r="I8" s="1">
        <f>IFERROR(AVERAGEIF('Full Player List'!$C$2:$C$1737,$C8,'Full Player List'!R$2:R$1737),0)</f>
        <v>277</v>
      </c>
      <c r="J8" s="1">
        <f>IFERROR(AVERAGEIF('Full Player List'!$C$2:$C$1737,$C8,'Full Player List'!AK$2:AK$1737),0)</f>
        <v>1</v>
      </c>
      <c r="K8" s="1">
        <f>IFERROR(AVERAGEIF('Full Player List'!$C$2:$C$1737,$C8,'Full Player List'!AL$2:AL$1737),0)</f>
        <v>1</v>
      </c>
      <c r="L8" s="1">
        <f>IFERROR(AVERAGEIF('Full Player List'!$C$2:$C$1737,$C8,'Full Player List'!AM$2:AM$1737),0)</f>
        <v>0</v>
      </c>
    </row>
    <row r="9" spans="1:12" x14ac:dyDescent="0.3">
      <c r="A9">
        <v>300511</v>
      </c>
      <c r="B9" t="s">
        <v>142</v>
      </c>
      <c r="C9" t="s">
        <v>291</v>
      </c>
      <c r="G9" s="1">
        <f>IFERROR(AVERAGEIF('Full Player List'!$C$2:$C$1737,$C9,'Full Player List'!P$2:P$1737),0)</f>
        <v>26.5</v>
      </c>
      <c r="H9" s="1">
        <f>IFERROR(AVERAGEIF('Full Player List'!$C$2:$C$1737,$C9,'Full Player List'!Q$2:Q$1737),0)</f>
        <v>2.25</v>
      </c>
      <c r="I9" s="1">
        <f>IFERROR(AVERAGEIF('Full Player List'!$C$2:$C$1737,$C9,'Full Player List'!R$2:R$1737),0)</f>
        <v>322</v>
      </c>
      <c r="J9" s="1">
        <f>IFERROR(AVERAGEIF('Full Player List'!$C$2:$C$1737,$C9,'Full Player List'!AK$2:AK$1737),0)</f>
        <v>1.5</v>
      </c>
      <c r="K9" s="1">
        <f>IFERROR(AVERAGEIF('Full Player List'!$C$2:$C$1737,$C9,'Full Player List'!AL$2:AL$1737),0)</f>
        <v>1.5</v>
      </c>
      <c r="L9" s="1">
        <f>IFERROR(AVERAGEIF('Full Player List'!$C$2:$C$1737,$C9,'Full Player List'!AM$2:AM$1737),0)</f>
        <v>0</v>
      </c>
    </row>
    <row r="10" spans="1:12" x14ac:dyDescent="0.3">
      <c r="A10">
        <v>314829</v>
      </c>
      <c r="B10" t="s">
        <v>142</v>
      </c>
      <c r="C10" t="s">
        <v>470</v>
      </c>
      <c r="G10" s="1">
        <f>IFERROR(AVERAGEIF('Full Player List'!$C$2:$C$1737,$C10,'Full Player List'!P$2:P$1737),0)</f>
        <v>14.25</v>
      </c>
      <c r="H10" s="1">
        <f>IFERROR(AVERAGEIF('Full Player List'!$C$2:$C$1737,$C10,'Full Player List'!Q$2:Q$1737),0)</f>
        <v>2</v>
      </c>
      <c r="I10" s="1">
        <f>IFERROR(AVERAGEIF('Full Player List'!$C$2:$C$1737,$C10,'Full Player List'!R$2:R$1737),0)</f>
        <v>172.25</v>
      </c>
      <c r="J10" s="1">
        <f>IFERROR(AVERAGEIF('Full Player List'!$C$2:$C$1737,$C10,'Full Player List'!AK$2:AK$1737),0)</f>
        <v>0</v>
      </c>
      <c r="K10" s="1">
        <f>IFERROR(AVERAGEIF('Full Player List'!$C$2:$C$1737,$C10,'Full Player List'!AL$2:AL$1737),0)</f>
        <v>0</v>
      </c>
      <c r="L10" s="1">
        <f>IFERROR(AVERAGEIF('Full Player List'!$C$2:$C$1737,$C10,'Full Player List'!AM$2:AM$1737),0)</f>
        <v>0</v>
      </c>
    </row>
    <row r="11" spans="1:12" x14ac:dyDescent="0.3">
      <c r="A11">
        <v>350636</v>
      </c>
      <c r="B11" t="s">
        <v>142</v>
      </c>
      <c r="C11" t="s">
        <v>714</v>
      </c>
      <c r="G11" s="1">
        <f>IFERROR(AVERAGEIF('Full Player List'!$C$2:$C$1737,$C11,'Full Player List'!P$2:P$1737),0)</f>
        <v>13.666666666666666</v>
      </c>
      <c r="H11" s="1">
        <f>IFERROR(AVERAGEIF('Full Player List'!$C$2:$C$1737,$C11,'Full Player List'!Q$2:Q$1737),0)</f>
        <v>1.6666666666666667</v>
      </c>
      <c r="I11" s="1">
        <f>IFERROR(AVERAGEIF('Full Player List'!$C$2:$C$1737,$C11,'Full Player List'!R$2:R$1737),0)</f>
        <v>139.66666666666666</v>
      </c>
      <c r="J11" s="1">
        <f>IFERROR(AVERAGEIF('Full Player List'!$C$2:$C$1737,$C11,'Full Player List'!AK$2:AK$1737),0)</f>
        <v>0</v>
      </c>
      <c r="K11" s="1">
        <f>IFERROR(AVERAGEIF('Full Player List'!$C$2:$C$1737,$C11,'Full Player List'!AL$2:AL$1737),0)</f>
        <v>0</v>
      </c>
      <c r="L11" s="1">
        <f>IFERROR(AVERAGEIF('Full Player List'!$C$2:$C$1737,$C11,'Full Player List'!AM$2:AM$1737),0)</f>
        <v>0</v>
      </c>
    </row>
    <row r="12" spans="1:12" x14ac:dyDescent="0.3">
      <c r="A12">
        <v>311444</v>
      </c>
      <c r="B12" t="s">
        <v>142</v>
      </c>
      <c r="C12" t="s">
        <v>854</v>
      </c>
      <c r="G12" s="1">
        <f>IFERROR(AVERAGEIF('Full Player List'!$C$2:$C$1737,$C12,'Full Player List'!P$2:P$1737),0)</f>
        <v>30</v>
      </c>
      <c r="H12" s="1">
        <f>IFERROR(AVERAGEIF('Full Player List'!$C$2:$C$1737,$C12,'Full Player List'!Q$2:Q$1737),0)</f>
        <v>2.25</v>
      </c>
      <c r="I12" s="1">
        <f>IFERROR(AVERAGEIF('Full Player List'!$C$2:$C$1737,$C12,'Full Player List'!R$2:R$1737),0)</f>
        <v>303.25</v>
      </c>
      <c r="J12" s="1">
        <f>IFERROR(AVERAGEIF('Full Player List'!$C$2:$C$1737,$C12,'Full Player List'!AK$2:AK$1737),0)</f>
        <v>0</v>
      </c>
      <c r="K12" s="1">
        <f>IFERROR(AVERAGEIF('Full Player List'!$C$2:$C$1737,$C12,'Full Player List'!AL$2:AL$1737),0)</f>
        <v>0</v>
      </c>
      <c r="L12" s="1">
        <f>IFERROR(AVERAGEIF('Full Player List'!$C$2:$C$1737,$C12,'Full Player List'!AM$2:AM$1737),0)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0FB9-F55B-4131-A1D1-3B91DED62751}">
  <dimension ref="A1:F25"/>
  <sheetViews>
    <sheetView workbookViewId="0">
      <selection activeCell="E3" sqref="E3"/>
    </sheetView>
  </sheetViews>
  <sheetFormatPr defaultRowHeight="14.4" x14ac:dyDescent="0.3"/>
  <cols>
    <col min="3" max="3" width="13.6640625" bestFit="1" customWidth="1"/>
    <col min="11" max="11" width="2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312931</v>
      </c>
      <c r="B2" t="s">
        <v>178</v>
      </c>
      <c r="C2" t="s">
        <v>456</v>
      </c>
      <c r="D2">
        <v>2023</v>
      </c>
      <c r="E2" t="s">
        <v>152</v>
      </c>
      <c r="F2" t="s">
        <v>153</v>
      </c>
    </row>
    <row r="3" spans="1:6" x14ac:dyDescent="0.3">
      <c r="A3">
        <v>325463</v>
      </c>
      <c r="B3" t="s">
        <v>178</v>
      </c>
      <c r="C3" t="s">
        <v>523</v>
      </c>
      <c r="D3">
        <v>2023</v>
      </c>
      <c r="E3" t="s">
        <v>243</v>
      </c>
      <c r="F3" t="s">
        <v>244</v>
      </c>
    </row>
    <row r="4" spans="1:6" x14ac:dyDescent="0.3">
      <c r="A4">
        <v>327296</v>
      </c>
      <c r="B4" t="s">
        <v>178</v>
      </c>
      <c r="C4" t="s">
        <v>566</v>
      </c>
      <c r="D4">
        <v>2023</v>
      </c>
      <c r="E4" t="s">
        <v>139</v>
      </c>
      <c r="F4" t="s">
        <v>140</v>
      </c>
    </row>
    <row r="5" spans="1:6" x14ac:dyDescent="0.3">
      <c r="A5">
        <v>327928</v>
      </c>
      <c r="B5" t="s">
        <v>178</v>
      </c>
      <c r="C5" t="s">
        <v>575</v>
      </c>
      <c r="D5">
        <v>2023</v>
      </c>
      <c r="E5" t="s">
        <v>173</v>
      </c>
      <c r="F5" t="s">
        <v>174</v>
      </c>
    </row>
    <row r="6" spans="1:6" x14ac:dyDescent="0.3">
      <c r="A6">
        <v>350535</v>
      </c>
      <c r="B6" t="s">
        <v>178</v>
      </c>
      <c r="C6" t="s">
        <v>712</v>
      </c>
      <c r="D6">
        <v>2023</v>
      </c>
      <c r="E6" t="s">
        <v>265</v>
      </c>
      <c r="F6" t="s">
        <v>266</v>
      </c>
    </row>
    <row r="7" spans="1:6" x14ac:dyDescent="0.3">
      <c r="A7">
        <v>350683</v>
      </c>
      <c r="B7" t="s">
        <v>178</v>
      </c>
      <c r="C7" t="s">
        <v>721</v>
      </c>
      <c r="D7">
        <v>2024</v>
      </c>
      <c r="E7" t="s">
        <v>148</v>
      </c>
      <c r="F7" t="s">
        <v>149</v>
      </c>
    </row>
    <row r="8" spans="1:6" x14ac:dyDescent="0.3">
      <c r="A8">
        <v>350170</v>
      </c>
      <c r="B8" t="s">
        <v>214</v>
      </c>
      <c r="C8" t="s">
        <v>703</v>
      </c>
      <c r="D8">
        <v>2024</v>
      </c>
      <c r="E8" t="s">
        <v>420</v>
      </c>
      <c r="F8" t="s">
        <v>421</v>
      </c>
    </row>
    <row r="9" spans="1:6" x14ac:dyDescent="0.3">
      <c r="A9">
        <v>351261</v>
      </c>
      <c r="B9" t="s">
        <v>100</v>
      </c>
      <c r="C9" t="s">
        <v>728</v>
      </c>
      <c r="D9">
        <v>2024</v>
      </c>
      <c r="E9" t="s">
        <v>382</v>
      </c>
      <c r="F9" t="s">
        <v>383</v>
      </c>
    </row>
    <row r="10" spans="1:6" x14ac:dyDescent="0.3">
      <c r="A10">
        <v>354742</v>
      </c>
      <c r="B10" t="s">
        <v>100</v>
      </c>
      <c r="C10" t="s">
        <v>755</v>
      </c>
      <c r="D10">
        <v>2024</v>
      </c>
      <c r="E10" t="s">
        <v>125</v>
      </c>
      <c r="F10" t="s">
        <v>126</v>
      </c>
    </row>
    <row r="11" spans="1:6" x14ac:dyDescent="0.3">
      <c r="A11">
        <v>368279</v>
      </c>
      <c r="B11" t="s">
        <v>100</v>
      </c>
      <c r="C11" t="s">
        <v>815</v>
      </c>
      <c r="D11">
        <v>2024</v>
      </c>
      <c r="E11" t="s">
        <v>458</v>
      </c>
      <c r="F11" t="s">
        <v>459</v>
      </c>
    </row>
    <row r="12" spans="1:6" x14ac:dyDescent="0.3">
      <c r="A12">
        <v>373841</v>
      </c>
      <c r="B12" t="s">
        <v>100</v>
      </c>
      <c r="C12" t="s">
        <v>823</v>
      </c>
      <c r="D12">
        <v>2024</v>
      </c>
      <c r="E12" t="s">
        <v>824</v>
      </c>
      <c r="F12" t="s">
        <v>825</v>
      </c>
    </row>
    <row r="13" spans="1:6" x14ac:dyDescent="0.3">
      <c r="A13">
        <v>337857</v>
      </c>
      <c r="B13" t="s">
        <v>100</v>
      </c>
      <c r="C13" t="s">
        <v>635</v>
      </c>
      <c r="D13">
        <v>2023</v>
      </c>
      <c r="E13" t="s">
        <v>220</v>
      </c>
      <c r="F13" t="s">
        <v>221</v>
      </c>
    </row>
    <row r="14" spans="1:6" x14ac:dyDescent="0.3">
      <c r="A14">
        <v>340182</v>
      </c>
      <c r="B14" t="s">
        <v>100</v>
      </c>
      <c r="C14" t="s">
        <v>646</v>
      </c>
      <c r="D14">
        <v>2023</v>
      </c>
      <c r="E14" t="s">
        <v>71</v>
      </c>
      <c r="F14" t="s">
        <v>72</v>
      </c>
    </row>
    <row r="15" spans="1:6" x14ac:dyDescent="0.3">
      <c r="A15">
        <v>348709</v>
      </c>
      <c r="B15" t="s">
        <v>100</v>
      </c>
      <c r="C15" t="s">
        <v>668</v>
      </c>
      <c r="D15">
        <v>2023</v>
      </c>
      <c r="E15" t="s">
        <v>122</v>
      </c>
      <c r="F15" t="s">
        <v>123</v>
      </c>
    </row>
    <row r="16" spans="1:6" x14ac:dyDescent="0.3">
      <c r="A16">
        <v>353728</v>
      </c>
      <c r="B16" t="s">
        <v>100</v>
      </c>
      <c r="C16" t="s">
        <v>752</v>
      </c>
      <c r="D16">
        <v>2023</v>
      </c>
      <c r="E16" t="s">
        <v>656</v>
      </c>
      <c r="F16" t="s">
        <v>657</v>
      </c>
    </row>
    <row r="17" spans="1:6" x14ac:dyDescent="0.3">
      <c r="A17">
        <v>362249</v>
      </c>
      <c r="B17" t="s">
        <v>214</v>
      </c>
      <c r="C17" t="s">
        <v>791</v>
      </c>
      <c r="D17">
        <v>2023</v>
      </c>
      <c r="E17" t="s">
        <v>122</v>
      </c>
      <c r="F17" t="s">
        <v>123</v>
      </c>
    </row>
    <row r="18" spans="1:6" x14ac:dyDescent="0.3">
      <c r="A18">
        <v>325360</v>
      </c>
      <c r="B18" t="s">
        <v>100</v>
      </c>
      <c r="C18" t="s">
        <v>847</v>
      </c>
      <c r="D18">
        <v>2023</v>
      </c>
      <c r="E18" t="s">
        <v>67</v>
      </c>
      <c r="F18" t="s">
        <v>68</v>
      </c>
    </row>
    <row r="19" spans="1:6" x14ac:dyDescent="0.3">
      <c r="A19">
        <v>328257</v>
      </c>
      <c r="B19" t="s">
        <v>100</v>
      </c>
      <c r="C19" t="s">
        <v>848</v>
      </c>
      <c r="D19">
        <v>2023</v>
      </c>
      <c r="E19" t="s">
        <v>760</v>
      </c>
      <c r="F19" t="s">
        <v>761</v>
      </c>
    </row>
    <row r="20" spans="1:6" x14ac:dyDescent="0.3">
      <c r="A20">
        <v>317023</v>
      </c>
      <c r="B20" t="s">
        <v>214</v>
      </c>
      <c r="C20" t="s">
        <v>849</v>
      </c>
      <c r="D20">
        <v>2023</v>
      </c>
      <c r="E20" t="s">
        <v>122</v>
      </c>
      <c r="F20" t="s">
        <v>123</v>
      </c>
    </row>
    <row r="21" spans="1:6" x14ac:dyDescent="0.3">
      <c r="A21">
        <v>310211</v>
      </c>
      <c r="B21" t="s">
        <v>100</v>
      </c>
      <c r="C21" t="s">
        <v>850</v>
      </c>
      <c r="D21">
        <v>2023</v>
      </c>
      <c r="E21" t="s">
        <v>746</v>
      </c>
      <c r="F21" t="s">
        <v>856</v>
      </c>
    </row>
    <row r="22" spans="1:6" x14ac:dyDescent="0.3">
      <c r="A22">
        <v>330293</v>
      </c>
      <c r="B22" t="s">
        <v>214</v>
      </c>
      <c r="C22" t="s">
        <v>851</v>
      </c>
      <c r="D22">
        <v>2023</v>
      </c>
      <c r="E22" t="s">
        <v>160</v>
      </c>
      <c r="F22" t="s">
        <v>161</v>
      </c>
    </row>
    <row r="23" spans="1:6" x14ac:dyDescent="0.3">
      <c r="A23">
        <v>315836</v>
      </c>
      <c r="B23" t="s">
        <v>100</v>
      </c>
      <c r="C23" t="s">
        <v>475</v>
      </c>
      <c r="D23">
        <v>2023</v>
      </c>
      <c r="E23" t="s">
        <v>476</v>
      </c>
      <c r="F23" t="s">
        <v>477</v>
      </c>
    </row>
    <row r="24" spans="1:6" x14ac:dyDescent="0.3">
      <c r="A24">
        <v>336849</v>
      </c>
      <c r="B24" t="s">
        <v>214</v>
      </c>
      <c r="C24" t="s">
        <v>852</v>
      </c>
      <c r="D24">
        <v>2023</v>
      </c>
      <c r="E24" t="s">
        <v>67</v>
      </c>
      <c r="F24" t="s">
        <v>68</v>
      </c>
    </row>
    <row r="25" spans="1:6" x14ac:dyDescent="0.3">
      <c r="A25">
        <v>326095</v>
      </c>
      <c r="B25" t="s">
        <v>214</v>
      </c>
      <c r="C25" t="s">
        <v>853</v>
      </c>
      <c r="D25">
        <v>2023</v>
      </c>
      <c r="E25" t="s">
        <v>71</v>
      </c>
      <c r="F25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9C8D-D269-4019-ACA4-8BF6BE77EE50}">
  <dimension ref="A1:N30"/>
  <sheetViews>
    <sheetView workbookViewId="0">
      <selection activeCell="F17" sqref="F17"/>
    </sheetView>
  </sheetViews>
  <sheetFormatPr defaultRowHeight="14.4" x14ac:dyDescent="0.3"/>
  <cols>
    <col min="3" max="3" width="18.44140625" bestFit="1" customWidth="1"/>
    <col min="5" max="5" width="1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x14ac:dyDescent="0.3">
      <c r="A2">
        <v>330326</v>
      </c>
      <c r="B2" t="s">
        <v>38</v>
      </c>
      <c r="C2" t="s">
        <v>605</v>
      </c>
      <c r="D2">
        <v>2023</v>
      </c>
      <c r="G2" s="2">
        <f>IFERROR(AVERAGEIF('Full Player List'!$C$2:$C$1737, $C2, 'Full Player List'!S$2:S$1737),0)</f>
        <v>0.2</v>
      </c>
      <c r="H2" s="2">
        <f>IFERROR(AVERAGEIF('Full Player List'!$C$2:$C$1737, $C2, 'Full Player List'!T$2:T$1737),0)</f>
        <v>2.4</v>
      </c>
      <c r="I2" s="2">
        <f>IFERROR(AVERAGEIF('Full Player List'!$C$2:$C$1737, $C2, 'Full Player List'!U$2:U$1737),0)</f>
        <v>3.1</v>
      </c>
      <c r="J2" s="2">
        <f>IFERROR(AVERAGEIF('Full Player List'!$C$2:$C$1737, $C2, 'Full Player List'!V$2:V$1737),0)</f>
        <v>11.4</v>
      </c>
      <c r="K2" s="2">
        <f>IFERROR(AVERAGEIF('Full Player List'!$C$2:$C$1737, $C2, 'Full Player List'!W$2:W$1737),0)</f>
        <v>23</v>
      </c>
      <c r="L2" s="2">
        <f>IFERROR(AVERAGEIF('Full Player List'!$C$2:$C$1737, $C2, 'Full Player List'!X$2:X$1737),0)</f>
        <v>5.2</v>
      </c>
      <c r="M2" s="2">
        <f>IFERROR(AVERAGEIF('Full Player List'!$C$2:$C$1737, $C2, 'Full Player List'!Y$2:Y$1737),0)</f>
        <v>1</v>
      </c>
      <c r="N2" s="2">
        <f>IFERROR(AVERAGEIF('Full Player List'!$C$2:$C$1737, $C2, 'Full Player List'!Z$2:Z$1737),0)</f>
        <v>0</v>
      </c>
    </row>
    <row r="3" spans="1:14" x14ac:dyDescent="0.3">
      <c r="A3">
        <v>348705</v>
      </c>
      <c r="B3" t="s">
        <v>38</v>
      </c>
      <c r="C3" t="s">
        <v>667</v>
      </c>
      <c r="D3">
        <v>2023</v>
      </c>
      <c r="G3" s="2">
        <f>IFERROR(AVERAGEIF('Full Player List'!$C$2:$C$1737, $C3, 'Full Player List'!S$2:S$1737),0)</f>
        <v>1.6</v>
      </c>
      <c r="H3" s="2">
        <f>IFERROR(AVERAGEIF('Full Player List'!$C$2:$C$1737, $C3, 'Full Player List'!T$2:T$1737),0)</f>
        <v>2.4</v>
      </c>
      <c r="I3" s="2">
        <f>IFERROR(AVERAGEIF('Full Player List'!$C$2:$C$1737, $C3, 'Full Player List'!U$2:U$1737),0)</f>
        <v>0.8</v>
      </c>
      <c r="J3" s="2">
        <f>IFERROR(AVERAGEIF('Full Player List'!$C$2:$C$1737, $C3, 'Full Player List'!V$2:V$1737),0)</f>
        <v>15.4</v>
      </c>
      <c r="K3" s="2">
        <f>IFERROR(AVERAGEIF('Full Player List'!$C$2:$C$1737, $C3, 'Full Player List'!W$2:W$1737),0)</f>
        <v>33.200000000000003</v>
      </c>
      <c r="L3" s="2">
        <f>IFERROR(AVERAGEIF('Full Player List'!$C$2:$C$1737, $C3, 'Full Player List'!X$2:X$1737),0)</f>
        <v>4.0999999999999996</v>
      </c>
      <c r="M3" s="2">
        <f>IFERROR(AVERAGEIF('Full Player List'!$C$2:$C$1737, $C3, 'Full Player List'!Y$2:Y$1737),0)</f>
        <v>0</v>
      </c>
      <c r="N3" s="2">
        <f>IFERROR(AVERAGEIF('Full Player List'!$C$2:$C$1737, $C3, 'Full Player List'!Z$2:Z$1737),0)</f>
        <v>0</v>
      </c>
    </row>
    <row r="4" spans="1:14" x14ac:dyDescent="0.3">
      <c r="A4">
        <v>349011</v>
      </c>
      <c r="B4" t="s">
        <v>38</v>
      </c>
      <c r="C4" t="s">
        <v>671</v>
      </c>
      <c r="D4">
        <v>2023</v>
      </c>
      <c r="G4" s="2">
        <f>IFERROR(AVERAGEIF('Full Player List'!$C$2:$C$1737, $C4, 'Full Player List'!S$2:S$1737),0)</f>
        <v>2.2000000000000002</v>
      </c>
      <c r="H4" s="2">
        <f>IFERROR(AVERAGEIF('Full Player List'!$C$2:$C$1737, $C4, 'Full Player List'!T$2:T$1737),0)</f>
        <v>3.4</v>
      </c>
      <c r="I4" s="2">
        <f>IFERROR(AVERAGEIF('Full Player List'!$C$2:$C$1737, $C4, 'Full Player List'!U$2:U$1737),0)</f>
        <v>1.9</v>
      </c>
      <c r="J4" s="2">
        <f>IFERROR(AVERAGEIF('Full Player List'!$C$2:$C$1737, $C4, 'Full Player List'!V$2:V$1737),0)</f>
        <v>13.6</v>
      </c>
      <c r="K4" s="2">
        <f>IFERROR(AVERAGEIF('Full Player List'!$C$2:$C$1737, $C4, 'Full Player List'!W$2:W$1737),0)</f>
        <v>21.6</v>
      </c>
      <c r="L4" s="2">
        <f>IFERROR(AVERAGEIF('Full Player List'!$C$2:$C$1737, $C4, 'Full Player List'!X$2:X$1737),0)</f>
        <v>3.3</v>
      </c>
      <c r="M4" s="2">
        <f>IFERROR(AVERAGEIF('Full Player List'!$C$2:$C$1737, $C4, 'Full Player List'!Y$2:Y$1737),0)</f>
        <v>0</v>
      </c>
      <c r="N4" s="2">
        <f>IFERROR(AVERAGEIF('Full Player List'!$C$2:$C$1737, $C4, 'Full Player List'!Z$2:Z$1737),0)</f>
        <v>0</v>
      </c>
    </row>
    <row r="5" spans="1:14" x14ac:dyDescent="0.3">
      <c r="A5">
        <v>349254</v>
      </c>
      <c r="B5" t="s">
        <v>38</v>
      </c>
      <c r="C5" t="s">
        <v>680</v>
      </c>
      <c r="D5">
        <v>2023</v>
      </c>
      <c r="G5" s="2">
        <f>IFERROR(AVERAGEIF('Full Player List'!$C$2:$C$1737, $C5, 'Full Player List'!S$2:S$1737),0)</f>
        <v>1</v>
      </c>
      <c r="H5" s="2">
        <f>IFERROR(AVERAGEIF('Full Player List'!$C$2:$C$1737, $C5, 'Full Player List'!T$2:T$1737),0)</f>
        <v>2.5</v>
      </c>
      <c r="I5" s="2">
        <f>IFERROR(AVERAGEIF('Full Player List'!$C$2:$C$1737, $C5, 'Full Player List'!U$2:U$1737),0)</f>
        <v>2.5</v>
      </c>
      <c r="J5" s="2">
        <f>IFERROR(AVERAGEIF('Full Player List'!$C$2:$C$1737, $C5, 'Full Player List'!V$2:V$1737),0)</f>
        <v>15.25</v>
      </c>
      <c r="K5" s="2">
        <f>IFERROR(AVERAGEIF('Full Player List'!$C$2:$C$1737, $C5, 'Full Player List'!W$2:W$1737),0)</f>
        <v>31.25</v>
      </c>
      <c r="L5" s="2">
        <f>IFERROR(AVERAGEIF('Full Player List'!$C$2:$C$1737, $C5, 'Full Player List'!X$2:X$1737),0)</f>
        <v>6.875</v>
      </c>
      <c r="M5" s="2">
        <f>IFERROR(AVERAGEIF('Full Player List'!$C$2:$C$1737, $C5, 'Full Player List'!Y$2:Y$1737),0)</f>
        <v>0</v>
      </c>
      <c r="N5" s="2">
        <f>IFERROR(AVERAGEIF('Full Player List'!$C$2:$C$1737, $C5, 'Full Player List'!Z$2:Z$1737),0)</f>
        <v>0</v>
      </c>
    </row>
    <row r="6" spans="1:14" x14ac:dyDescent="0.3">
      <c r="A6">
        <v>349905</v>
      </c>
      <c r="B6" t="s">
        <v>38</v>
      </c>
      <c r="C6" t="s">
        <v>699</v>
      </c>
      <c r="D6">
        <v>2023</v>
      </c>
      <c r="G6" s="2">
        <f>IFERROR(AVERAGEIF('Full Player List'!$C$2:$C$1737, $C6, 'Full Player List'!S$2:S$1737),0)</f>
        <v>0.4</v>
      </c>
      <c r="H6" s="2">
        <f>IFERROR(AVERAGEIF('Full Player List'!$C$2:$C$1737, $C6, 'Full Player List'!T$2:T$1737),0)</f>
        <v>0.2</v>
      </c>
      <c r="I6" s="2">
        <f>IFERROR(AVERAGEIF('Full Player List'!$C$2:$C$1737, $C6, 'Full Player List'!U$2:U$1737),0)</f>
        <v>0.6</v>
      </c>
      <c r="J6" s="2">
        <f>IFERROR(AVERAGEIF('Full Player List'!$C$2:$C$1737, $C6, 'Full Player List'!V$2:V$1737),0)</f>
        <v>8.4</v>
      </c>
      <c r="K6" s="2">
        <f>IFERROR(AVERAGEIF('Full Player List'!$C$2:$C$1737, $C6, 'Full Player List'!W$2:W$1737),0)</f>
        <v>18</v>
      </c>
      <c r="L6" s="2">
        <f>IFERROR(AVERAGEIF('Full Player List'!$C$2:$C$1737, $C6, 'Full Player List'!X$2:X$1737),0)</f>
        <v>1.7</v>
      </c>
      <c r="M6" s="2">
        <f>IFERROR(AVERAGEIF('Full Player List'!$C$2:$C$1737, $C6, 'Full Player List'!Y$2:Y$1737),0)</f>
        <v>1</v>
      </c>
      <c r="N6" s="2">
        <f>IFERROR(AVERAGEIF('Full Player List'!$C$2:$C$1737, $C6, 'Full Player List'!Z$2:Z$1737),0)</f>
        <v>0</v>
      </c>
    </row>
    <row r="7" spans="1:14" x14ac:dyDescent="0.3">
      <c r="A7">
        <v>351300</v>
      </c>
      <c r="B7" t="s">
        <v>38</v>
      </c>
      <c r="C7" t="s">
        <v>729</v>
      </c>
      <c r="D7">
        <v>2024</v>
      </c>
      <c r="G7" s="2">
        <f>IFERROR(AVERAGEIF('Full Player List'!$C$2:$C$1737, $C7, 'Full Player List'!S$2:S$1737),0)</f>
        <v>0.4</v>
      </c>
      <c r="H7" s="2">
        <f>IFERROR(AVERAGEIF('Full Player List'!$C$2:$C$1737, $C7, 'Full Player List'!T$2:T$1737),0)</f>
        <v>1</v>
      </c>
      <c r="I7" s="2">
        <f>IFERROR(AVERAGEIF('Full Player List'!$C$2:$C$1737, $C7, 'Full Player List'!U$2:U$1737),0)</f>
        <v>1.8</v>
      </c>
      <c r="J7" s="2">
        <f>IFERROR(AVERAGEIF('Full Player List'!$C$2:$C$1737, $C7, 'Full Player List'!V$2:V$1737),0)</f>
        <v>13.6</v>
      </c>
      <c r="K7" s="2">
        <f>IFERROR(AVERAGEIF('Full Player List'!$C$2:$C$1737, $C7, 'Full Player List'!W$2:W$1737),0)</f>
        <v>30</v>
      </c>
      <c r="L7" s="2">
        <f>IFERROR(AVERAGEIF('Full Player List'!$C$2:$C$1737, $C7, 'Full Player List'!X$2:X$1737),0)</f>
        <v>5.4</v>
      </c>
      <c r="M7" s="2">
        <f>IFERROR(AVERAGEIF('Full Player List'!$C$2:$C$1737, $C7, 'Full Player List'!Y$2:Y$1737),0)</f>
        <v>0</v>
      </c>
      <c r="N7" s="2">
        <f>IFERROR(AVERAGEIF('Full Player List'!$C$2:$C$1737, $C7, 'Full Player List'!Z$2:Z$1737),0)</f>
        <v>0</v>
      </c>
    </row>
    <row r="8" spans="1:14" x14ac:dyDescent="0.3">
      <c r="A8">
        <v>352239</v>
      </c>
      <c r="B8" t="s">
        <v>38</v>
      </c>
      <c r="C8" t="s">
        <v>736</v>
      </c>
      <c r="D8">
        <v>2023</v>
      </c>
      <c r="G8" s="2">
        <f>IFERROR(AVERAGEIF('Full Player List'!$C$2:$C$1737, $C8, 'Full Player List'!S$2:S$1737),0)</f>
        <v>0.66666666666666663</v>
      </c>
      <c r="H8" s="2">
        <f>IFERROR(AVERAGEIF('Full Player List'!$C$2:$C$1737, $C8, 'Full Player List'!T$2:T$1737),0)</f>
        <v>1.6666666666666667</v>
      </c>
      <c r="I8" s="2">
        <f>IFERROR(AVERAGEIF('Full Player List'!$C$2:$C$1737, $C8, 'Full Player List'!U$2:U$1737),0)</f>
        <v>2.1666666666666665</v>
      </c>
      <c r="J8" s="2">
        <f>IFERROR(AVERAGEIF('Full Player List'!$C$2:$C$1737, $C8, 'Full Player List'!V$2:V$1737),0)</f>
        <v>11.333333333333334</v>
      </c>
      <c r="K8" s="2">
        <f>IFERROR(AVERAGEIF('Full Player List'!$C$2:$C$1737, $C8, 'Full Player List'!W$2:W$1737),0)</f>
        <v>26.333333333333332</v>
      </c>
      <c r="L8" s="2">
        <f>IFERROR(AVERAGEIF('Full Player List'!$C$2:$C$1737, $C8, 'Full Player List'!X$2:X$1737),0)</f>
        <v>4.166666666666667</v>
      </c>
      <c r="M8" s="2">
        <f>IFERROR(AVERAGEIF('Full Player List'!$C$2:$C$1737, $C8, 'Full Player List'!Y$2:Y$1737),0)</f>
        <v>0</v>
      </c>
      <c r="N8" s="2">
        <f>IFERROR(AVERAGEIF('Full Player List'!$C$2:$C$1737, $C8, 'Full Player List'!Z$2:Z$1737),0)</f>
        <v>0</v>
      </c>
    </row>
    <row r="9" spans="1:14" x14ac:dyDescent="0.3">
      <c r="A9">
        <v>361567</v>
      </c>
      <c r="B9" t="s">
        <v>38</v>
      </c>
      <c r="C9" t="s">
        <v>777</v>
      </c>
      <c r="D9">
        <v>2023</v>
      </c>
      <c r="G9" s="2">
        <f>IFERROR(AVERAGEIF('Full Player List'!$C$2:$C$1737, $C9, 'Full Player List'!S$2:S$1737),0)</f>
        <v>0.5</v>
      </c>
      <c r="H9" s="2">
        <f>IFERROR(AVERAGEIF('Full Player List'!$C$2:$C$1737, $C9, 'Full Player List'!T$2:T$1737),0)</f>
        <v>0.75</v>
      </c>
      <c r="I9" s="2">
        <f>IFERROR(AVERAGEIF('Full Player List'!$C$2:$C$1737, $C9, 'Full Player List'!U$2:U$1737),0)</f>
        <v>0.125</v>
      </c>
      <c r="J9" s="2">
        <f>IFERROR(AVERAGEIF('Full Player List'!$C$2:$C$1737, $C9, 'Full Player List'!V$2:V$1737),0)</f>
        <v>6.75</v>
      </c>
      <c r="K9" s="2">
        <f>IFERROR(AVERAGEIF('Full Player List'!$C$2:$C$1737, $C9, 'Full Player List'!W$2:W$1737),0)</f>
        <v>14</v>
      </c>
      <c r="L9" s="2">
        <f>IFERROR(AVERAGEIF('Full Player List'!$C$2:$C$1737, $C9, 'Full Player List'!X$2:X$1737),0)</f>
        <v>1.625</v>
      </c>
      <c r="M9" s="2">
        <f>IFERROR(AVERAGEIF('Full Player List'!$C$2:$C$1737, $C9, 'Full Player List'!Y$2:Y$1737),0)</f>
        <v>1</v>
      </c>
      <c r="N9" s="2">
        <f>IFERROR(AVERAGEIF('Full Player List'!$C$2:$C$1737, $C9, 'Full Player List'!Z$2:Z$1737),0)</f>
        <v>0.25</v>
      </c>
    </row>
    <row r="10" spans="1:14" x14ac:dyDescent="0.3">
      <c r="A10">
        <v>369216</v>
      </c>
      <c r="B10" t="s">
        <v>38</v>
      </c>
      <c r="C10" t="s">
        <v>818</v>
      </c>
      <c r="D10">
        <v>2023</v>
      </c>
      <c r="G10" s="2">
        <f>IFERROR(AVERAGEIF('Full Player List'!$C$2:$C$1737, $C10, 'Full Player List'!S$2:S$1737),0)</f>
        <v>0.5</v>
      </c>
      <c r="H10" s="2">
        <f>IFERROR(AVERAGEIF('Full Player List'!$C$2:$C$1737, $C10, 'Full Player List'!T$2:T$1737),0)</f>
        <v>0.25</v>
      </c>
      <c r="I10" s="2">
        <f>IFERROR(AVERAGEIF('Full Player List'!$C$2:$C$1737, $C10, 'Full Player List'!U$2:U$1737),0)</f>
        <v>1</v>
      </c>
      <c r="J10" s="2">
        <f>IFERROR(AVERAGEIF('Full Player List'!$C$2:$C$1737, $C10, 'Full Player List'!V$2:V$1737),0)</f>
        <v>11</v>
      </c>
      <c r="K10" s="2">
        <f>IFERROR(AVERAGEIF('Full Player List'!$C$2:$C$1737, $C10, 'Full Player List'!W$2:W$1737),0)</f>
        <v>19.25</v>
      </c>
      <c r="L10" s="2">
        <f>IFERROR(AVERAGEIF('Full Player List'!$C$2:$C$1737, $C10, 'Full Player List'!X$2:X$1737),0)</f>
        <v>1.875</v>
      </c>
      <c r="M10" s="2">
        <f>IFERROR(AVERAGEIF('Full Player List'!$C$2:$C$1737, $C10, 'Full Player List'!Y$2:Y$1737),0)</f>
        <v>0</v>
      </c>
      <c r="N10" s="2">
        <f>IFERROR(AVERAGEIF('Full Player List'!$C$2:$C$1737, $C10, 'Full Player List'!Z$2:Z$1737),0)</f>
        <v>0</v>
      </c>
    </row>
    <row r="11" spans="1:14" x14ac:dyDescent="0.3">
      <c r="A11">
        <v>386094</v>
      </c>
      <c r="B11" t="s">
        <v>38</v>
      </c>
      <c r="C11" t="s">
        <v>834</v>
      </c>
      <c r="D11">
        <v>2024</v>
      </c>
      <c r="G11" s="2">
        <f>IFERROR(AVERAGEIF('Full Player List'!$C$2:$C$1737, $C11, 'Full Player List'!S$2:S$1737),0)</f>
        <v>0</v>
      </c>
      <c r="H11" s="2">
        <f>IFERROR(AVERAGEIF('Full Player List'!$C$2:$C$1737, $C11, 'Full Player List'!T$2:T$1737),0)</f>
        <v>1.3333333333333333</v>
      </c>
      <c r="I11" s="2">
        <f>IFERROR(AVERAGEIF('Full Player List'!$C$2:$C$1737, $C11, 'Full Player List'!U$2:U$1737),0)</f>
        <v>0</v>
      </c>
      <c r="J11" s="2">
        <f>IFERROR(AVERAGEIF('Full Player List'!$C$2:$C$1737, $C11, 'Full Player List'!V$2:V$1737),0)</f>
        <v>10.333333333333334</v>
      </c>
      <c r="K11" s="2">
        <f>IFERROR(AVERAGEIF('Full Player List'!$C$2:$C$1737, $C11, 'Full Player List'!W$2:W$1737),0)</f>
        <v>19.333333333333332</v>
      </c>
      <c r="L11" s="2">
        <f>IFERROR(AVERAGEIF('Full Player List'!$C$2:$C$1737, $C11, 'Full Player List'!X$2:X$1737),0)</f>
        <v>0.83333333333333337</v>
      </c>
      <c r="M11" s="2">
        <f>IFERROR(AVERAGEIF('Full Player List'!$C$2:$C$1737, $C11, 'Full Player List'!Y$2:Y$1737),0)</f>
        <v>0</v>
      </c>
      <c r="N11" s="2">
        <f>IFERROR(AVERAGEIF('Full Player List'!$C$2:$C$1737, $C11, 'Full Player List'!Z$2:Z$1737),0)</f>
        <v>0</v>
      </c>
    </row>
    <row r="12" spans="1:14" x14ac:dyDescent="0.3">
      <c r="A12">
        <v>305093</v>
      </c>
      <c r="B12" t="s">
        <v>38</v>
      </c>
      <c r="C12" t="s">
        <v>350</v>
      </c>
      <c r="D12">
        <v>2023</v>
      </c>
      <c r="G12" s="2">
        <f>IFERROR(AVERAGEIF('Full Player List'!$C$2:$C$1737, $C12, 'Full Player List'!S$2:S$1737),0)</f>
        <v>0.8</v>
      </c>
      <c r="H12" s="2">
        <f>IFERROR(AVERAGEIF('Full Player List'!$C$2:$C$1737, $C12, 'Full Player List'!T$2:T$1737),0)</f>
        <v>0.4</v>
      </c>
      <c r="I12" s="2">
        <f>IFERROR(AVERAGEIF('Full Player List'!$C$2:$C$1737, $C12, 'Full Player List'!U$2:U$1737),0)</f>
        <v>1.2</v>
      </c>
      <c r="J12" s="2">
        <f>IFERROR(AVERAGEIF('Full Player List'!$C$2:$C$1737, $C12, 'Full Player List'!V$2:V$1737),0)</f>
        <v>7.4</v>
      </c>
      <c r="K12" s="2">
        <f>IFERROR(AVERAGEIF('Full Player List'!$C$2:$C$1737, $C12, 'Full Player List'!W$2:W$1737),0)</f>
        <v>18.399999999999999</v>
      </c>
      <c r="L12" s="2">
        <f>IFERROR(AVERAGEIF('Full Player List'!$C$2:$C$1737, $C12, 'Full Player List'!X$2:X$1737),0)</f>
        <v>2.9</v>
      </c>
      <c r="M12" s="2">
        <f>IFERROR(AVERAGEIF('Full Player List'!$C$2:$C$1737, $C12, 'Full Player List'!Y$2:Y$1737),0)</f>
        <v>0</v>
      </c>
      <c r="N12" s="2">
        <f>IFERROR(AVERAGEIF('Full Player List'!$C$2:$C$1737, $C12, 'Full Player List'!Z$2:Z$1737),0)</f>
        <v>0</v>
      </c>
    </row>
    <row r="13" spans="1:14" x14ac:dyDescent="0.3">
      <c r="A13">
        <v>306113</v>
      </c>
      <c r="B13" t="s">
        <v>38</v>
      </c>
      <c r="C13" t="s">
        <v>398</v>
      </c>
      <c r="D13">
        <v>2024</v>
      </c>
      <c r="G13" s="2">
        <f>IFERROR(AVERAGEIF('Full Player List'!$C$2:$C$1737, $C13, 'Full Player List'!S$2:S$1737),0)</f>
        <v>1.4</v>
      </c>
      <c r="H13" s="2">
        <f>IFERROR(AVERAGEIF('Full Player List'!$C$2:$C$1737, $C13, 'Full Player List'!T$2:T$1737),0)</f>
        <v>0.4</v>
      </c>
      <c r="I13" s="2">
        <f>IFERROR(AVERAGEIF('Full Player List'!$C$2:$C$1737, $C13, 'Full Player List'!U$2:U$1737),0)</f>
        <v>0.4</v>
      </c>
      <c r="J13" s="2">
        <f>IFERROR(AVERAGEIF('Full Player List'!$C$2:$C$1737, $C13, 'Full Player List'!V$2:V$1737),0)</f>
        <v>12.2</v>
      </c>
      <c r="K13" s="2">
        <f>IFERROR(AVERAGEIF('Full Player List'!$C$2:$C$1737, $C13, 'Full Player List'!W$2:W$1737),0)</f>
        <v>22.2</v>
      </c>
      <c r="L13" s="2">
        <f>IFERROR(AVERAGEIF('Full Player List'!$C$2:$C$1737, $C13, 'Full Player List'!X$2:X$1737),0)</f>
        <v>3.5</v>
      </c>
      <c r="M13" s="2">
        <f>IFERROR(AVERAGEIF('Full Player List'!$C$2:$C$1737, $C13, 'Full Player List'!Y$2:Y$1737),0)</f>
        <v>1</v>
      </c>
      <c r="N13" s="2">
        <f>IFERROR(AVERAGEIF('Full Player List'!$C$2:$C$1737, $C13, 'Full Player List'!Z$2:Z$1737),0)</f>
        <v>0</v>
      </c>
    </row>
    <row r="14" spans="1:14" x14ac:dyDescent="0.3">
      <c r="A14">
        <v>307223</v>
      </c>
      <c r="B14" t="s">
        <v>38</v>
      </c>
      <c r="C14" t="s">
        <v>405</v>
      </c>
      <c r="D14">
        <v>2024</v>
      </c>
      <c r="G14" s="2">
        <f>IFERROR(AVERAGEIF('Full Player List'!$C$2:$C$1737, $C14, 'Full Player List'!S$2:S$1737),0)</f>
        <v>0.2</v>
      </c>
      <c r="H14" s="2">
        <f>IFERROR(AVERAGEIF('Full Player List'!$C$2:$C$1737, $C14, 'Full Player List'!T$2:T$1737),0)</f>
        <v>0.6</v>
      </c>
      <c r="I14" s="2">
        <f>IFERROR(AVERAGEIF('Full Player List'!$C$2:$C$1737, $C14, 'Full Player List'!U$2:U$1737),0)</f>
        <v>0.7</v>
      </c>
      <c r="J14" s="2">
        <f>IFERROR(AVERAGEIF('Full Player List'!$C$2:$C$1737, $C14, 'Full Player List'!V$2:V$1737),0)</f>
        <v>6.6</v>
      </c>
      <c r="K14" s="2">
        <f>IFERROR(AVERAGEIF('Full Player List'!$C$2:$C$1737, $C14, 'Full Player List'!W$2:W$1737),0)</f>
        <v>16.600000000000001</v>
      </c>
      <c r="L14" s="2">
        <f>IFERROR(AVERAGEIF('Full Player List'!$C$2:$C$1737, $C14, 'Full Player List'!X$2:X$1737),0)</f>
        <v>2.9</v>
      </c>
      <c r="M14" s="2">
        <f>IFERROR(AVERAGEIF('Full Player List'!$C$2:$C$1737, $C14, 'Full Player List'!Y$2:Y$1737),0)</f>
        <v>0</v>
      </c>
      <c r="N14" s="2">
        <f>IFERROR(AVERAGEIF('Full Player List'!$C$2:$C$1737, $C14, 'Full Player List'!Z$2:Z$1737),0)</f>
        <v>0</v>
      </c>
    </row>
    <row r="15" spans="1:14" x14ac:dyDescent="0.3">
      <c r="A15">
        <v>312167</v>
      </c>
      <c r="B15" t="s">
        <v>38</v>
      </c>
      <c r="C15" t="s">
        <v>453</v>
      </c>
      <c r="D15">
        <v>2024</v>
      </c>
      <c r="G15" s="2">
        <f>IFERROR(AVERAGEIF('Full Player List'!$C$2:$C$1737, $C15, 'Full Player List'!S$2:S$1737),0)</f>
        <v>0</v>
      </c>
      <c r="H15" s="2">
        <f>IFERROR(AVERAGEIF('Full Player List'!$C$2:$C$1737, $C15, 'Full Player List'!T$2:T$1737),0)</f>
        <v>0</v>
      </c>
      <c r="I15" s="2">
        <f>IFERROR(AVERAGEIF('Full Player List'!$C$2:$C$1737, $C15, 'Full Player List'!U$2:U$1737),0)</f>
        <v>0</v>
      </c>
      <c r="J15" s="2">
        <f>IFERROR(AVERAGEIF('Full Player List'!$C$2:$C$1737, $C15, 'Full Player List'!V$2:V$1737),0)</f>
        <v>1</v>
      </c>
      <c r="K15" s="2">
        <f>IFERROR(AVERAGEIF('Full Player List'!$C$2:$C$1737, $C15, 'Full Player List'!W$2:W$1737),0)</f>
        <v>3.3333333333333335</v>
      </c>
      <c r="L15" s="2">
        <f>IFERROR(AVERAGEIF('Full Player List'!$C$2:$C$1737, $C15, 'Full Player List'!X$2:X$1737),0)</f>
        <v>0</v>
      </c>
      <c r="M15" s="2">
        <f>IFERROR(AVERAGEIF('Full Player List'!$C$2:$C$1737, $C15, 'Full Player List'!Y$2:Y$1737),0)</f>
        <v>0</v>
      </c>
      <c r="N15" s="2">
        <f>IFERROR(AVERAGEIF('Full Player List'!$C$2:$C$1737, $C15, 'Full Player List'!Z$2:Z$1737),0)</f>
        <v>0</v>
      </c>
    </row>
    <row r="16" spans="1:14" x14ac:dyDescent="0.3">
      <c r="A16">
        <v>325913</v>
      </c>
      <c r="B16" t="s">
        <v>38</v>
      </c>
      <c r="C16" t="s">
        <v>536</v>
      </c>
      <c r="D16">
        <v>2023</v>
      </c>
      <c r="G16" s="2">
        <f>IFERROR(AVERAGEIF('Full Player List'!$C$2:$C$1737, $C16, 'Full Player List'!S$2:S$1737),0)</f>
        <v>0</v>
      </c>
      <c r="H16" s="2">
        <f>IFERROR(AVERAGEIF('Full Player List'!$C$2:$C$1737, $C16, 'Full Player List'!T$2:T$1737),0)</f>
        <v>1.6</v>
      </c>
      <c r="I16" s="2">
        <f>IFERROR(AVERAGEIF('Full Player List'!$C$2:$C$1737, $C16, 'Full Player List'!U$2:U$1737),0)</f>
        <v>2.4</v>
      </c>
      <c r="J16" s="2">
        <f>IFERROR(AVERAGEIF('Full Player List'!$C$2:$C$1737, $C16, 'Full Player List'!V$2:V$1737),0)</f>
        <v>8.6</v>
      </c>
      <c r="K16" s="2">
        <f>IFERROR(AVERAGEIF('Full Player List'!$C$2:$C$1737, $C16, 'Full Player List'!W$2:W$1737),0)</f>
        <v>33</v>
      </c>
      <c r="L16" s="2">
        <f>IFERROR(AVERAGEIF('Full Player List'!$C$2:$C$1737, $C16, 'Full Player List'!X$2:X$1737),0)</f>
        <v>4.0999999999999996</v>
      </c>
      <c r="M16" s="2">
        <f>IFERROR(AVERAGEIF('Full Player List'!$C$2:$C$1737, $C16, 'Full Player List'!Y$2:Y$1737),0)</f>
        <v>0</v>
      </c>
      <c r="N16" s="2">
        <f>IFERROR(AVERAGEIF('Full Player List'!$C$2:$C$1737, $C16, 'Full Player List'!Z$2:Z$1737),0)</f>
        <v>0</v>
      </c>
    </row>
    <row r="17" spans="1:14" x14ac:dyDescent="0.3">
      <c r="A17">
        <v>327851</v>
      </c>
      <c r="B17" t="s">
        <v>38</v>
      </c>
      <c r="C17" t="s">
        <v>573</v>
      </c>
      <c r="D17">
        <v>2024</v>
      </c>
      <c r="G17" s="2">
        <f>IFERROR(AVERAGEIF('Full Player List'!$C$2:$C$1737, $C17, 'Full Player List'!S$2:S$1737),0)</f>
        <v>0.2</v>
      </c>
      <c r="H17" s="2">
        <f>IFERROR(AVERAGEIF('Full Player List'!$C$2:$C$1737, $C17, 'Full Player List'!T$2:T$1737),0)</f>
        <v>1.6</v>
      </c>
      <c r="I17" s="2">
        <f>IFERROR(AVERAGEIF('Full Player List'!$C$2:$C$1737, $C17, 'Full Player List'!U$2:U$1737),0)</f>
        <v>2.6</v>
      </c>
      <c r="J17" s="2">
        <f>IFERROR(AVERAGEIF('Full Player List'!$C$2:$C$1737, $C17, 'Full Player List'!V$2:V$1737),0)</f>
        <v>9.6</v>
      </c>
      <c r="K17" s="2">
        <f>IFERROR(AVERAGEIF('Full Player List'!$C$2:$C$1737, $C17, 'Full Player List'!W$2:W$1737),0)</f>
        <v>24.4</v>
      </c>
      <c r="L17" s="2">
        <f>IFERROR(AVERAGEIF('Full Player List'!$C$2:$C$1737, $C17, 'Full Player List'!X$2:X$1737),0)</f>
        <v>4.5</v>
      </c>
      <c r="M17" s="2">
        <f>IFERROR(AVERAGEIF('Full Player List'!$C$2:$C$1737, $C17, 'Full Player List'!Y$2:Y$1737),0)</f>
        <v>0</v>
      </c>
      <c r="N17" s="2">
        <f>IFERROR(AVERAGEIF('Full Player List'!$C$2:$C$1737, $C17, 'Full Player List'!Z$2:Z$1737),0)</f>
        <v>0</v>
      </c>
    </row>
    <row r="18" spans="1:14" x14ac:dyDescent="0.3">
      <c r="A18">
        <v>327913</v>
      </c>
      <c r="B18" t="s">
        <v>38</v>
      </c>
      <c r="C18" t="s">
        <v>574</v>
      </c>
      <c r="D18">
        <v>2023</v>
      </c>
      <c r="G18" s="2">
        <f>IFERROR(AVERAGEIF('Full Player List'!$C$2:$C$1737, $C18, 'Full Player List'!S$2:S$1737),0)</f>
        <v>0.75</v>
      </c>
      <c r="H18" s="2">
        <f>IFERROR(AVERAGEIF('Full Player List'!$C$2:$C$1737, $C18, 'Full Player List'!T$2:T$1737),0)</f>
        <v>0</v>
      </c>
      <c r="I18" s="2">
        <f>IFERROR(AVERAGEIF('Full Player List'!$C$2:$C$1737, $C18, 'Full Player List'!U$2:U$1737),0)</f>
        <v>0.375</v>
      </c>
      <c r="J18" s="2">
        <f>IFERROR(AVERAGEIF('Full Player List'!$C$2:$C$1737, $C18, 'Full Player List'!V$2:V$1737),0)</f>
        <v>6.75</v>
      </c>
      <c r="K18" s="2">
        <f>IFERROR(AVERAGEIF('Full Player List'!$C$2:$C$1737, $C18, 'Full Player List'!W$2:W$1737),0)</f>
        <v>12.75</v>
      </c>
      <c r="L18" s="2">
        <f>IFERROR(AVERAGEIF('Full Player List'!$C$2:$C$1737, $C18, 'Full Player List'!X$2:X$1737),0)</f>
        <v>1.125</v>
      </c>
      <c r="M18" s="2">
        <f>IFERROR(AVERAGEIF('Full Player List'!$C$2:$C$1737, $C18, 'Full Player List'!Y$2:Y$1737),0)</f>
        <v>0</v>
      </c>
      <c r="N18" s="2">
        <f>IFERROR(AVERAGEIF('Full Player List'!$C$2:$C$1737, $C18, 'Full Player List'!Z$2:Z$1737),0)</f>
        <v>0</v>
      </c>
    </row>
    <row r="19" spans="1:14" x14ac:dyDescent="0.3">
      <c r="A19">
        <v>328191</v>
      </c>
      <c r="B19" t="s">
        <v>38</v>
      </c>
      <c r="C19" t="s">
        <v>583</v>
      </c>
      <c r="D19">
        <v>2023</v>
      </c>
      <c r="G19" s="2">
        <f>IFERROR(AVERAGEIF('Full Player List'!$C$2:$C$1737, $C19, 'Full Player List'!S$2:S$1737),0)</f>
        <v>0</v>
      </c>
      <c r="H19" s="2">
        <f>IFERROR(AVERAGEIF('Full Player List'!$C$2:$C$1737, $C19, 'Full Player List'!T$2:T$1737),0)</f>
        <v>1.8</v>
      </c>
      <c r="I19" s="2">
        <f>IFERROR(AVERAGEIF('Full Player List'!$C$2:$C$1737, $C19, 'Full Player List'!U$2:U$1737),0)</f>
        <v>2.8</v>
      </c>
      <c r="J19" s="2">
        <f>IFERROR(AVERAGEIF('Full Player List'!$C$2:$C$1737, $C19, 'Full Player List'!V$2:V$1737),0)</f>
        <v>8.4</v>
      </c>
      <c r="K19" s="2">
        <f>IFERROR(AVERAGEIF('Full Player List'!$C$2:$C$1737, $C19, 'Full Player List'!W$2:W$1737),0)</f>
        <v>18.8</v>
      </c>
      <c r="L19" s="2">
        <f>IFERROR(AVERAGEIF('Full Player List'!$C$2:$C$1737, $C19, 'Full Player List'!X$2:X$1737),0)</f>
        <v>5.7</v>
      </c>
      <c r="M19" s="2">
        <f>IFERROR(AVERAGEIF('Full Player List'!$C$2:$C$1737, $C19, 'Full Player List'!Y$2:Y$1737),0)</f>
        <v>0</v>
      </c>
      <c r="N19" s="2">
        <f>IFERROR(AVERAGEIF('Full Player List'!$C$2:$C$1737, $C19, 'Full Player List'!Z$2:Z$1737),0)</f>
        <v>0</v>
      </c>
    </row>
    <row r="20" spans="1:14" x14ac:dyDescent="0.3">
      <c r="A20">
        <v>348176</v>
      </c>
      <c r="B20" t="s">
        <v>38</v>
      </c>
      <c r="C20" t="s">
        <v>658</v>
      </c>
      <c r="D20">
        <v>2024</v>
      </c>
      <c r="G20" s="2">
        <f>IFERROR(AVERAGEIF('Full Player List'!$C$2:$C$1737, $C20, 'Full Player List'!S$2:S$1737),0)</f>
        <v>1</v>
      </c>
      <c r="H20" s="2">
        <f>IFERROR(AVERAGEIF('Full Player List'!$C$2:$C$1737, $C20, 'Full Player List'!T$2:T$1737),0)</f>
        <v>1.75</v>
      </c>
      <c r="I20" s="2">
        <f>IFERROR(AVERAGEIF('Full Player List'!$C$2:$C$1737, $C20, 'Full Player List'!U$2:U$1737),0)</f>
        <v>1.75</v>
      </c>
      <c r="J20" s="2">
        <f>IFERROR(AVERAGEIF('Full Player List'!$C$2:$C$1737, $C20, 'Full Player List'!V$2:V$1737),0)</f>
        <v>12.5</v>
      </c>
      <c r="K20" s="2">
        <f>IFERROR(AVERAGEIF('Full Player List'!$C$2:$C$1737, $C20, 'Full Player List'!W$2:W$1737),0)</f>
        <v>24.5</v>
      </c>
      <c r="L20" s="2">
        <f>IFERROR(AVERAGEIF('Full Player List'!$C$2:$C$1737, $C20, 'Full Player List'!X$2:X$1737),0)</f>
        <v>4.25</v>
      </c>
      <c r="M20" s="2">
        <f>IFERROR(AVERAGEIF('Full Player List'!$C$2:$C$1737, $C20, 'Full Player List'!Y$2:Y$1737),0)</f>
        <v>0</v>
      </c>
      <c r="N20" s="2">
        <f>IFERROR(AVERAGEIF('Full Player List'!$C$2:$C$1737, $C20, 'Full Player List'!Z$2:Z$1737),0)</f>
        <v>0</v>
      </c>
    </row>
    <row r="21" spans="1:14" x14ac:dyDescent="0.3">
      <c r="A21">
        <v>349628</v>
      </c>
      <c r="B21" t="s">
        <v>38</v>
      </c>
      <c r="C21" t="s">
        <v>688</v>
      </c>
      <c r="D21">
        <v>2023</v>
      </c>
      <c r="G21" s="2">
        <f>IFERROR(AVERAGEIF('Full Player List'!$C$2:$C$1737, $C21, 'Full Player List'!S$2:S$1737),0)</f>
        <v>0.5</v>
      </c>
      <c r="H21" s="2">
        <f>IFERROR(AVERAGEIF('Full Player List'!$C$2:$C$1737, $C21, 'Full Player List'!T$2:T$1737),0)</f>
        <v>1.75</v>
      </c>
      <c r="I21" s="2">
        <f>IFERROR(AVERAGEIF('Full Player List'!$C$2:$C$1737, $C21, 'Full Player List'!U$2:U$1737),0)</f>
        <v>1.5</v>
      </c>
      <c r="J21" s="2">
        <f>IFERROR(AVERAGEIF('Full Player List'!$C$2:$C$1737, $C21, 'Full Player List'!V$2:V$1737),0)</f>
        <v>12</v>
      </c>
      <c r="K21" s="2">
        <f>IFERROR(AVERAGEIF('Full Player List'!$C$2:$C$1737, $C21, 'Full Player List'!W$2:W$1737),0)</f>
        <v>34.5</v>
      </c>
      <c r="L21" s="2">
        <f>IFERROR(AVERAGEIF('Full Player List'!$C$2:$C$1737, $C21, 'Full Player List'!X$2:X$1737),0)</f>
        <v>4.5</v>
      </c>
      <c r="M21" s="2">
        <f>IFERROR(AVERAGEIF('Full Player List'!$C$2:$C$1737, $C21, 'Full Player List'!Y$2:Y$1737),0)</f>
        <v>0</v>
      </c>
      <c r="N21" s="2">
        <f>IFERROR(AVERAGEIF('Full Player List'!$C$2:$C$1737, $C21, 'Full Player List'!Z$2:Z$1737),0)</f>
        <v>0</v>
      </c>
    </row>
    <row r="22" spans="1:14" x14ac:dyDescent="0.3">
      <c r="A22">
        <v>351069</v>
      </c>
      <c r="B22" t="s">
        <v>38</v>
      </c>
      <c r="C22" t="s">
        <v>725</v>
      </c>
      <c r="D22">
        <v>2024</v>
      </c>
      <c r="G22" s="2">
        <f>IFERROR(AVERAGEIF('Full Player List'!$C$2:$C$1737, $C22, 'Full Player List'!S$2:S$1737),0)</f>
        <v>1.75</v>
      </c>
      <c r="H22" s="2">
        <f>IFERROR(AVERAGEIF('Full Player List'!$C$2:$C$1737, $C22, 'Full Player List'!T$2:T$1737),0)</f>
        <v>0.75</v>
      </c>
      <c r="I22" s="2">
        <f>IFERROR(AVERAGEIF('Full Player List'!$C$2:$C$1737, $C22, 'Full Player List'!U$2:U$1737),0)</f>
        <v>2.25</v>
      </c>
      <c r="J22" s="2">
        <f>IFERROR(AVERAGEIF('Full Player List'!$C$2:$C$1737, $C22, 'Full Player List'!V$2:V$1737),0)</f>
        <v>13.5</v>
      </c>
      <c r="K22" s="2">
        <f>IFERROR(AVERAGEIF('Full Player List'!$C$2:$C$1737, $C22, 'Full Player List'!W$2:W$1737),0)</f>
        <v>37.75</v>
      </c>
      <c r="L22" s="2">
        <f>IFERROR(AVERAGEIF('Full Player List'!$C$2:$C$1737, $C22, 'Full Player List'!X$2:X$1737),0)</f>
        <v>4.5</v>
      </c>
      <c r="M22" s="2">
        <f>IFERROR(AVERAGEIF('Full Player List'!$C$2:$C$1737, $C22, 'Full Player List'!Y$2:Y$1737),0)</f>
        <v>0</v>
      </c>
      <c r="N22" s="2">
        <f>IFERROR(AVERAGEIF('Full Player List'!$C$2:$C$1737, $C22, 'Full Player List'!Z$2:Z$1737),0)</f>
        <v>0</v>
      </c>
    </row>
    <row r="23" spans="1:14" x14ac:dyDescent="0.3">
      <c r="G23" s="2"/>
      <c r="H23" s="2"/>
      <c r="I23" s="2"/>
      <c r="J23" s="2"/>
      <c r="K23" s="2"/>
      <c r="L23" s="2"/>
      <c r="M23" s="2"/>
      <c r="N23" s="2"/>
    </row>
    <row r="24" spans="1:14" x14ac:dyDescent="0.3">
      <c r="G24" s="2"/>
      <c r="H24" s="2"/>
      <c r="I24" s="2"/>
      <c r="J24" s="2"/>
      <c r="K24" s="2"/>
      <c r="L24" s="2"/>
      <c r="M24" s="2"/>
      <c r="N24" s="2"/>
    </row>
    <row r="25" spans="1:14" x14ac:dyDescent="0.3">
      <c r="G25" s="2"/>
      <c r="H25" s="2"/>
      <c r="I25" s="2"/>
      <c r="J25" s="2"/>
      <c r="K25" s="2"/>
      <c r="L25" s="2"/>
      <c r="M25" s="2"/>
      <c r="N25" s="2"/>
    </row>
    <row r="26" spans="1:14" x14ac:dyDescent="0.3">
      <c r="G26" s="2"/>
      <c r="H26" s="2"/>
      <c r="I26" s="2"/>
      <c r="J26" s="2"/>
      <c r="K26" s="2"/>
      <c r="L26" s="2"/>
      <c r="M26" s="2"/>
      <c r="N26" s="2"/>
    </row>
    <row r="27" spans="1:14" x14ac:dyDescent="0.3">
      <c r="G27" s="2"/>
      <c r="H27" s="2"/>
      <c r="I27" s="2"/>
      <c r="J27" s="2"/>
      <c r="K27" s="2"/>
      <c r="L27" s="2"/>
      <c r="M27" s="2"/>
      <c r="N27" s="2"/>
    </row>
    <row r="28" spans="1:14" x14ac:dyDescent="0.3">
      <c r="G28" s="2"/>
      <c r="H28" s="2"/>
      <c r="I28" s="2"/>
      <c r="J28" s="2"/>
      <c r="K28" s="2"/>
      <c r="L28" s="2"/>
      <c r="M28" s="2"/>
      <c r="N28" s="2"/>
    </row>
    <row r="29" spans="1:14" x14ac:dyDescent="0.3">
      <c r="G29" s="2"/>
      <c r="H29" s="2"/>
      <c r="I29" s="2"/>
      <c r="J29" s="2"/>
      <c r="K29" s="2"/>
      <c r="L29" s="2"/>
      <c r="M29" s="2"/>
      <c r="N29" s="2"/>
    </row>
    <row r="30" spans="1:14" x14ac:dyDescent="0.3">
      <c r="G30" s="2"/>
      <c r="H30" s="2"/>
      <c r="I30" s="2"/>
      <c r="J30" s="2"/>
      <c r="K30" s="2"/>
      <c r="L30" s="2"/>
      <c r="M30" s="2"/>
      <c r="N3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EABA-3259-43AE-8BF9-5E36CA1FB460}">
  <dimension ref="A1:O23"/>
  <sheetViews>
    <sheetView topLeftCell="C1" workbookViewId="0">
      <selection activeCell="N1" sqref="G1:N1"/>
    </sheetView>
  </sheetViews>
  <sheetFormatPr defaultRowHeight="14.4" x14ac:dyDescent="0.3"/>
  <cols>
    <col min="3" max="3" width="19" bestFit="1" customWidth="1"/>
    <col min="7" max="7" width="20.44140625" bestFit="1" customWidth="1"/>
    <col min="8" max="8" width="16.77734375" bestFit="1" customWidth="1"/>
    <col min="9" max="9" width="12.88671875" bestFit="1" customWidth="1"/>
    <col min="10" max="10" width="18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5" x14ac:dyDescent="0.3">
      <c r="A2">
        <v>349029</v>
      </c>
      <c r="B2" t="s">
        <v>69</v>
      </c>
      <c r="C2" t="s">
        <v>672</v>
      </c>
      <c r="G2" s="2">
        <f>IFERROR(AVERAGEIF('Full Player List'!$C$2:$C$1737, $C2, 'Full Player List'!S$2:S$1737),0)</f>
        <v>0.8</v>
      </c>
      <c r="H2" s="2">
        <f>IFERROR(AVERAGEIF('Full Player List'!$C$2:$C$1737, $C2, 'Full Player List'!T$2:T$1737),0)</f>
        <v>3.6</v>
      </c>
      <c r="I2" s="2">
        <f>IFERROR(AVERAGEIF('Full Player List'!$C$2:$C$1737, $C2, 'Full Player List'!U$2:U$1737),0)</f>
        <v>3.8</v>
      </c>
      <c r="J2" s="2">
        <f>IFERROR(AVERAGEIF('Full Player List'!$C$2:$C$1737, $C2, 'Full Player List'!V$2:V$1737),0)</f>
        <v>13</v>
      </c>
      <c r="K2" s="2">
        <f>IFERROR(AVERAGEIF('Full Player List'!$C$2:$C$1737, $C2, 'Full Player List'!W$2:W$1737),0)</f>
        <v>27.2</v>
      </c>
      <c r="L2" s="2">
        <f>IFERROR(AVERAGEIF('Full Player List'!$C$2:$C$1737, $C2, 'Full Player List'!X$2:X$1737),0)</f>
        <v>7.6</v>
      </c>
      <c r="M2" s="2">
        <f>IFERROR(AVERAGEIF('Full Player List'!$C$2:$C$1737, $C2, 'Full Player List'!Y$2:Y$1737),0)</f>
        <v>0</v>
      </c>
      <c r="N2" s="2">
        <f>IFERROR(AVERAGEIF('Full Player List'!$C$2:$C$1737, $C2, 'Full Player List'!Z$2:Z$1737),0)</f>
        <v>0</v>
      </c>
      <c r="O2" s="2"/>
    </row>
    <row r="3" spans="1:15" x14ac:dyDescent="0.3">
      <c r="A3">
        <v>349308</v>
      </c>
      <c r="B3" t="s">
        <v>69</v>
      </c>
      <c r="C3" t="s">
        <v>682</v>
      </c>
      <c r="G3" s="2">
        <f>IFERROR(AVERAGEIF('Full Player List'!$C$2:$C$1737, $C3, 'Full Player List'!S$2:S$1737),0)</f>
        <v>0.4</v>
      </c>
      <c r="H3" s="2">
        <f>IFERROR(AVERAGEIF('Full Player List'!$C$2:$C$1737, $C3, 'Full Player List'!T$2:T$1737),0)</f>
        <v>4.5999999999999996</v>
      </c>
      <c r="I3" s="2">
        <f>IFERROR(AVERAGEIF('Full Player List'!$C$2:$C$1737, $C3, 'Full Player List'!U$2:U$1737),0)</f>
        <v>3.3</v>
      </c>
      <c r="J3" s="2">
        <f>IFERROR(AVERAGEIF('Full Player List'!$C$2:$C$1737, $C3, 'Full Player List'!V$2:V$1737),0)</f>
        <v>23.6</v>
      </c>
      <c r="K3" s="2">
        <f>IFERROR(AVERAGEIF('Full Player List'!$C$2:$C$1737, $C3, 'Full Player List'!W$2:W$1737),0)</f>
        <v>42.6</v>
      </c>
      <c r="L3" s="2">
        <f>IFERROR(AVERAGEIF('Full Player List'!$C$2:$C$1737, $C3, 'Full Player List'!X$2:X$1737),0)</f>
        <v>6.6</v>
      </c>
      <c r="M3" s="2">
        <f>IFERROR(AVERAGEIF('Full Player List'!$C$2:$C$1737, $C3, 'Full Player List'!Y$2:Y$1737),0)</f>
        <v>2</v>
      </c>
      <c r="N3" s="2">
        <f>IFERROR(AVERAGEIF('Full Player List'!$C$2:$C$1737, $C3, 'Full Player List'!Z$2:Z$1737),0)</f>
        <v>0</v>
      </c>
      <c r="O3" s="2"/>
    </row>
    <row r="4" spans="1:15" x14ac:dyDescent="0.3">
      <c r="A4">
        <v>349348</v>
      </c>
      <c r="B4" t="s">
        <v>69</v>
      </c>
      <c r="C4" t="s">
        <v>683</v>
      </c>
      <c r="G4" s="2">
        <f>IFERROR(AVERAGEIF('Full Player List'!$C$2:$C$1737, $C4, 'Full Player List'!S$2:S$1737),0)</f>
        <v>0.25</v>
      </c>
      <c r="H4" s="2">
        <f>IFERROR(AVERAGEIF('Full Player List'!$C$2:$C$1737, $C4, 'Full Player List'!T$2:T$1737),0)</f>
        <v>3</v>
      </c>
      <c r="I4" s="2">
        <f>IFERROR(AVERAGEIF('Full Player List'!$C$2:$C$1737, $C4, 'Full Player List'!U$2:U$1737),0)</f>
        <v>2.125</v>
      </c>
      <c r="J4" s="2">
        <f>IFERROR(AVERAGEIF('Full Player List'!$C$2:$C$1737, $C4, 'Full Player List'!V$2:V$1737),0)</f>
        <v>11.25</v>
      </c>
      <c r="K4" s="2">
        <f>IFERROR(AVERAGEIF('Full Player List'!$C$2:$C$1737, $C4, 'Full Player List'!W$2:W$1737),0)</f>
        <v>24.75</v>
      </c>
      <c r="L4" s="2">
        <f>IFERROR(AVERAGEIF('Full Player List'!$C$2:$C$1737, $C4, 'Full Player List'!X$2:X$1737),0)</f>
        <v>4.75</v>
      </c>
      <c r="M4" s="2">
        <f>IFERROR(AVERAGEIF('Full Player List'!$C$2:$C$1737, $C4, 'Full Player List'!Y$2:Y$1737),0)</f>
        <v>0</v>
      </c>
      <c r="N4" s="2">
        <f>IFERROR(AVERAGEIF('Full Player List'!$C$2:$C$1737, $C4, 'Full Player List'!Z$2:Z$1737),0)</f>
        <v>0</v>
      </c>
      <c r="O4" s="2"/>
    </row>
    <row r="5" spans="1:15" x14ac:dyDescent="0.3">
      <c r="A5">
        <v>350674</v>
      </c>
      <c r="B5" t="s">
        <v>69</v>
      </c>
      <c r="C5" t="s">
        <v>718</v>
      </c>
      <c r="G5" s="2">
        <f>IFERROR(AVERAGEIF('Full Player List'!$C$2:$C$1737, $C5, 'Full Player List'!S$2:S$1737),0)</f>
        <v>0.25</v>
      </c>
      <c r="H5" s="2">
        <f>IFERROR(AVERAGEIF('Full Player List'!$C$2:$C$1737, $C5, 'Full Player List'!T$2:T$1737),0)</f>
        <v>4.25</v>
      </c>
      <c r="I5" s="2">
        <f>IFERROR(AVERAGEIF('Full Player List'!$C$2:$C$1737, $C5, 'Full Player List'!U$2:U$1737),0)</f>
        <v>7.375</v>
      </c>
      <c r="J5" s="2">
        <f>IFERROR(AVERAGEIF('Full Player List'!$C$2:$C$1737, $C5, 'Full Player List'!V$2:V$1737),0)</f>
        <v>16.25</v>
      </c>
      <c r="K5" s="2">
        <f>IFERROR(AVERAGEIF('Full Player List'!$C$2:$C$1737, $C5, 'Full Player List'!W$2:W$1737),0)</f>
        <v>28</v>
      </c>
      <c r="L5" s="2">
        <f>IFERROR(AVERAGEIF('Full Player List'!$C$2:$C$1737, $C5, 'Full Player List'!X$2:X$1737),0)</f>
        <v>9.875</v>
      </c>
      <c r="M5" s="2">
        <f>IFERROR(AVERAGEIF('Full Player List'!$C$2:$C$1737, $C5, 'Full Player List'!Y$2:Y$1737),0)</f>
        <v>0</v>
      </c>
      <c r="N5" s="2">
        <f>IFERROR(AVERAGEIF('Full Player List'!$C$2:$C$1737, $C5, 'Full Player List'!Z$2:Z$1737),0)</f>
        <v>0</v>
      </c>
      <c r="O5" s="2"/>
    </row>
    <row r="6" spans="1:15" x14ac:dyDescent="0.3">
      <c r="A6">
        <v>355296</v>
      </c>
      <c r="B6" t="s">
        <v>69</v>
      </c>
      <c r="C6" t="s">
        <v>756</v>
      </c>
      <c r="G6" s="2">
        <f>IFERROR(AVERAGEIF('Full Player List'!$C$2:$C$1737, $C6, 'Full Player List'!S$2:S$1737),0)</f>
        <v>0.5</v>
      </c>
      <c r="H6" s="2">
        <f>IFERROR(AVERAGEIF('Full Player List'!$C$2:$C$1737, $C6, 'Full Player List'!T$2:T$1737),0)</f>
        <v>0.25</v>
      </c>
      <c r="I6" s="2">
        <f>IFERROR(AVERAGEIF('Full Player List'!$C$2:$C$1737, $C6, 'Full Player List'!U$2:U$1737),0)</f>
        <v>0.25</v>
      </c>
      <c r="J6" s="2">
        <f>IFERROR(AVERAGEIF('Full Player List'!$C$2:$C$1737, $C6, 'Full Player List'!V$2:V$1737),0)</f>
        <v>2</v>
      </c>
      <c r="K6" s="2">
        <f>IFERROR(AVERAGEIF('Full Player List'!$C$2:$C$1737, $C6, 'Full Player List'!W$2:W$1737),0)</f>
        <v>2.75</v>
      </c>
      <c r="L6" s="2">
        <f>IFERROR(AVERAGEIF('Full Player List'!$C$2:$C$1737, $C6, 'Full Player List'!X$2:X$1737),0)</f>
        <v>0.875</v>
      </c>
      <c r="M6" s="2">
        <f>IFERROR(AVERAGEIF('Full Player List'!$C$2:$C$1737, $C6, 'Full Player List'!Y$2:Y$1737),0)</f>
        <v>0</v>
      </c>
      <c r="N6" s="2">
        <f>IFERROR(AVERAGEIF('Full Player List'!$C$2:$C$1737, $C6, 'Full Player List'!Z$2:Z$1737),0)</f>
        <v>0</v>
      </c>
      <c r="O6" s="2"/>
    </row>
    <row r="7" spans="1:15" x14ac:dyDescent="0.3">
      <c r="A7">
        <v>368430</v>
      </c>
      <c r="B7" t="s">
        <v>69</v>
      </c>
      <c r="C7" t="s">
        <v>817</v>
      </c>
      <c r="G7" s="2">
        <f>IFERROR(AVERAGEIF('Full Player List'!$C$2:$C$1737, $C7, 'Full Player List'!S$2:S$1737),0)</f>
        <v>0.2</v>
      </c>
      <c r="H7" s="2">
        <f>IFERROR(AVERAGEIF('Full Player List'!$C$2:$C$1737, $C7, 'Full Player List'!T$2:T$1737),0)</f>
        <v>3</v>
      </c>
      <c r="I7" s="2">
        <f>IFERROR(AVERAGEIF('Full Player List'!$C$2:$C$1737, $C7, 'Full Player List'!U$2:U$1737),0)</f>
        <v>3.8</v>
      </c>
      <c r="J7" s="2">
        <f>IFERROR(AVERAGEIF('Full Player List'!$C$2:$C$1737, $C7, 'Full Player List'!V$2:V$1737),0)</f>
        <v>10.4</v>
      </c>
      <c r="K7" s="2">
        <f>IFERROR(AVERAGEIF('Full Player List'!$C$2:$C$1737, $C7, 'Full Player List'!W$2:W$1737),0)</f>
        <v>20</v>
      </c>
      <c r="L7" s="2">
        <f>IFERROR(AVERAGEIF('Full Player List'!$C$2:$C$1737, $C7, 'Full Player List'!X$2:X$1737),0)</f>
        <v>5.3</v>
      </c>
      <c r="M7" s="2">
        <f>IFERROR(AVERAGEIF('Full Player List'!$C$2:$C$1737, $C7, 'Full Player List'!Y$2:Y$1737),0)</f>
        <v>0</v>
      </c>
      <c r="N7" s="2">
        <f>IFERROR(AVERAGEIF('Full Player List'!$C$2:$C$1737, $C7, 'Full Player List'!Z$2:Z$1737),0)</f>
        <v>0</v>
      </c>
      <c r="O7" s="2"/>
    </row>
    <row r="8" spans="1:15" x14ac:dyDescent="0.3">
      <c r="A8">
        <v>305227</v>
      </c>
      <c r="B8" t="s">
        <v>69</v>
      </c>
      <c r="C8" t="s">
        <v>352</v>
      </c>
      <c r="G8" s="2">
        <f>IFERROR(AVERAGEIF('Full Player List'!$C$2:$C$1737, $C8, 'Full Player List'!S$2:S$1737),0)</f>
        <v>0.33333333333333331</v>
      </c>
      <c r="H8" s="2">
        <f>IFERROR(AVERAGEIF('Full Player List'!$C$2:$C$1737, $C8, 'Full Player List'!T$2:T$1737),0)</f>
        <v>3.6666666666666665</v>
      </c>
      <c r="I8" s="2">
        <f>IFERROR(AVERAGEIF('Full Player List'!$C$2:$C$1737, $C8, 'Full Player List'!U$2:U$1737),0)</f>
        <v>2.8333333333333335</v>
      </c>
      <c r="J8" s="2">
        <f>IFERROR(AVERAGEIF('Full Player List'!$C$2:$C$1737, $C8, 'Full Player List'!V$2:V$1737),0)</f>
        <v>10.333333333333334</v>
      </c>
      <c r="K8" s="2">
        <f>IFERROR(AVERAGEIF('Full Player List'!$C$2:$C$1737, $C8, 'Full Player List'!W$2:W$1737),0)</f>
        <v>24</v>
      </c>
      <c r="L8" s="2">
        <f>IFERROR(AVERAGEIF('Full Player List'!$C$2:$C$1737, $C8, 'Full Player List'!X$2:X$1737),0)</f>
        <v>5.333333333333333</v>
      </c>
      <c r="M8" s="2">
        <f>IFERROR(AVERAGEIF('Full Player List'!$C$2:$C$1737, $C8, 'Full Player List'!Y$2:Y$1737),0)</f>
        <v>0</v>
      </c>
      <c r="N8" s="2">
        <f>IFERROR(AVERAGEIF('Full Player List'!$C$2:$C$1737, $C8, 'Full Player List'!Z$2:Z$1737),0)</f>
        <v>0</v>
      </c>
      <c r="O8" s="2"/>
    </row>
    <row r="9" spans="1:15" x14ac:dyDescent="0.3">
      <c r="A9">
        <v>305905</v>
      </c>
      <c r="B9" t="s">
        <v>69</v>
      </c>
      <c r="C9" t="s">
        <v>389</v>
      </c>
      <c r="G9" s="2">
        <f>IFERROR(AVERAGEIF('Full Player List'!$C$2:$C$1737, $C9, 'Full Player List'!S$2:S$1737),0)</f>
        <v>0</v>
      </c>
      <c r="H9" s="2">
        <f>IFERROR(AVERAGEIF('Full Player List'!$C$2:$C$1737, $C9, 'Full Player List'!T$2:T$1737),0)</f>
        <v>0</v>
      </c>
      <c r="I9" s="2">
        <f>IFERROR(AVERAGEIF('Full Player List'!$C$2:$C$1737, $C9, 'Full Player List'!U$2:U$1737),0)</f>
        <v>0.125</v>
      </c>
      <c r="J9" s="2">
        <f>IFERROR(AVERAGEIF('Full Player List'!$C$2:$C$1737, $C9, 'Full Player List'!V$2:V$1737),0)</f>
        <v>1.75</v>
      </c>
      <c r="K9" s="2">
        <f>IFERROR(AVERAGEIF('Full Player List'!$C$2:$C$1737, $C9, 'Full Player List'!W$2:W$1737),0)</f>
        <v>2.25</v>
      </c>
      <c r="L9" s="2">
        <f>IFERROR(AVERAGEIF('Full Player List'!$C$2:$C$1737, $C9, 'Full Player List'!X$2:X$1737),0)</f>
        <v>0.625</v>
      </c>
      <c r="M9" s="2">
        <f>IFERROR(AVERAGEIF('Full Player List'!$C$2:$C$1737, $C9, 'Full Player List'!Y$2:Y$1737),0)</f>
        <v>0</v>
      </c>
      <c r="N9" s="2">
        <f>IFERROR(AVERAGEIF('Full Player List'!$C$2:$C$1737, $C9, 'Full Player List'!Z$2:Z$1737),0)</f>
        <v>0</v>
      </c>
      <c r="O9" s="2"/>
    </row>
    <row r="10" spans="1:15" x14ac:dyDescent="0.3">
      <c r="A10">
        <v>306298</v>
      </c>
      <c r="B10" t="s">
        <v>69</v>
      </c>
      <c r="C10" t="s">
        <v>403</v>
      </c>
      <c r="G10" s="2">
        <f>IFERROR(AVERAGEIF('Full Player List'!$C$2:$C$1737, $C10, 'Full Player List'!S$2:S$1737),0)</f>
        <v>0.6</v>
      </c>
      <c r="H10" s="2">
        <f>IFERROR(AVERAGEIF('Full Player List'!$C$2:$C$1737, $C10, 'Full Player List'!T$2:T$1737),0)</f>
        <v>1.6</v>
      </c>
      <c r="I10" s="2">
        <f>IFERROR(AVERAGEIF('Full Player List'!$C$2:$C$1737, $C10, 'Full Player List'!U$2:U$1737),0)</f>
        <v>3.7</v>
      </c>
      <c r="J10" s="2">
        <f>IFERROR(AVERAGEIF('Full Player List'!$C$2:$C$1737, $C10, 'Full Player List'!V$2:V$1737),0)</f>
        <v>17.8</v>
      </c>
      <c r="K10" s="2">
        <f>IFERROR(AVERAGEIF('Full Player List'!$C$2:$C$1737, $C10, 'Full Player List'!W$2:W$1737),0)</f>
        <v>31.6</v>
      </c>
      <c r="L10" s="2">
        <f>IFERROR(AVERAGEIF('Full Player List'!$C$2:$C$1737, $C10, 'Full Player List'!X$2:X$1737),0)</f>
        <v>5.6</v>
      </c>
      <c r="M10" s="2">
        <f>IFERROR(AVERAGEIF('Full Player List'!$C$2:$C$1737, $C10, 'Full Player List'!Y$2:Y$1737),0)</f>
        <v>0</v>
      </c>
      <c r="N10" s="2">
        <f>IFERROR(AVERAGEIF('Full Player List'!$C$2:$C$1737, $C10, 'Full Player List'!Z$2:Z$1737),0)</f>
        <v>0</v>
      </c>
      <c r="O10" s="2"/>
    </row>
    <row r="11" spans="1:15" x14ac:dyDescent="0.3">
      <c r="A11">
        <v>324852</v>
      </c>
      <c r="B11" t="s">
        <v>69</v>
      </c>
      <c r="C11" t="s">
        <v>503</v>
      </c>
      <c r="G11" s="2">
        <f>IFERROR(AVERAGEIF('Full Player List'!$C$2:$C$1737, $C11, 'Full Player List'!S$2:S$1737),0)</f>
        <v>1</v>
      </c>
      <c r="H11" s="2">
        <f>IFERROR(AVERAGEIF('Full Player List'!$C$2:$C$1737, $C11, 'Full Player List'!T$2:T$1737),0)</f>
        <v>2.2000000000000002</v>
      </c>
      <c r="I11" s="2">
        <f>IFERROR(AVERAGEIF('Full Player List'!$C$2:$C$1737, $C11, 'Full Player List'!U$2:U$1737),0)</f>
        <v>1.3</v>
      </c>
      <c r="J11" s="2">
        <f>IFERROR(AVERAGEIF('Full Player List'!$C$2:$C$1737, $C11, 'Full Player List'!V$2:V$1737),0)</f>
        <v>26.4</v>
      </c>
      <c r="K11" s="2">
        <f>IFERROR(AVERAGEIF('Full Player List'!$C$2:$C$1737, $C11, 'Full Player List'!W$2:W$1737),0)</f>
        <v>48.4</v>
      </c>
      <c r="L11" s="2">
        <f>IFERROR(AVERAGEIF('Full Player List'!$C$2:$C$1737, $C11, 'Full Player List'!X$2:X$1737),0)</f>
        <v>4.4000000000000004</v>
      </c>
      <c r="M11" s="2">
        <f>IFERROR(AVERAGEIF('Full Player List'!$C$2:$C$1737, $C11, 'Full Player List'!Y$2:Y$1737),0)</f>
        <v>1</v>
      </c>
      <c r="N11" s="2">
        <f>IFERROR(AVERAGEIF('Full Player List'!$C$2:$C$1737, $C11, 'Full Player List'!Z$2:Z$1737),0)</f>
        <v>0</v>
      </c>
      <c r="O11" s="2"/>
    </row>
    <row r="12" spans="1:15" x14ac:dyDescent="0.3">
      <c r="A12">
        <v>325899</v>
      </c>
      <c r="B12" t="s">
        <v>69</v>
      </c>
      <c r="C12" t="s">
        <v>535</v>
      </c>
      <c r="G12" s="2">
        <f>IFERROR(AVERAGEIF('Full Player List'!$C$2:$C$1737, $C12, 'Full Player List'!S$2:S$1737),0)</f>
        <v>1.2</v>
      </c>
      <c r="H12" s="2">
        <f>IFERROR(AVERAGEIF('Full Player List'!$C$2:$C$1737, $C12, 'Full Player List'!T$2:T$1737),0)</f>
        <v>3.8</v>
      </c>
      <c r="I12" s="2">
        <f>IFERROR(AVERAGEIF('Full Player List'!$C$2:$C$1737, $C12, 'Full Player List'!U$2:U$1737),0)</f>
        <v>4.5</v>
      </c>
      <c r="J12" s="2">
        <f>IFERROR(AVERAGEIF('Full Player List'!$C$2:$C$1737, $C12, 'Full Player List'!V$2:V$1737),0)</f>
        <v>14.4</v>
      </c>
      <c r="K12" s="2">
        <f>IFERROR(AVERAGEIF('Full Player List'!$C$2:$C$1737, $C12, 'Full Player List'!W$2:W$1737),0)</f>
        <v>29.2</v>
      </c>
      <c r="L12" s="2">
        <f>IFERROR(AVERAGEIF('Full Player List'!$C$2:$C$1737, $C12, 'Full Player List'!X$2:X$1737),0)</f>
        <v>7.6</v>
      </c>
      <c r="M12" s="2">
        <f>IFERROR(AVERAGEIF('Full Player List'!$C$2:$C$1737, $C12, 'Full Player List'!Y$2:Y$1737),0)</f>
        <v>0</v>
      </c>
      <c r="N12" s="2">
        <f>IFERROR(AVERAGEIF('Full Player List'!$C$2:$C$1737, $C12, 'Full Player List'!Z$2:Z$1737),0)</f>
        <v>0</v>
      </c>
      <c r="O12" s="2"/>
    </row>
    <row r="13" spans="1:15" x14ac:dyDescent="0.3">
      <c r="A13">
        <v>327944</v>
      </c>
      <c r="B13" t="s">
        <v>69</v>
      </c>
      <c r="C13" t="s">
        <v>576</v>
      </c>
      <c r="G13" s="2">
        <f>IFERROR(AVERAGEIF('Full Player List'!$C$2:$C$1737, $C13, 'Full Player List'!S$2:S$1737),0)</f>
        <v>0.4</v>
      </c>
      <c r="H13" s="2">
        <f>IFERROR(AVERAGEIF('Full Player List'!$C$2:$C$1737, $C13, 'Full Player List'!T$2:T$1737),0)</f>
        <v>5</v>
      </c>
      <c r="I13" s="2">
        <f>IFERROR(AVERAGEIF('Full Player List'!$C$2:$C$1737, $C13, 'Full Player List'!U$2:U$1737),0)</f>
        <v>5.8</v>
      </c>
      <c r="J13" s="2">
        <f>IFERROR(AVERAGEIF('Full Player List'!$C$2:$C$1737, $C13, 'Full Player List'!V$2:V$1737),0)</f>
        <v>18.399999999999999</v>
      </c>
      <c r="K13" s="2">
        <f>IFERROR(AVERAGEIF('Full Player List'!$C$2:$C$1737, $C13, 'Full Player List'!W$2:W$1737),0)</f>
        <v>35.4</v>
      </c>
      <c r="L13" s="2">
        <f>IFERROR(AVERAGEIF('Full Player List'!$C$2:$C$1737, $C13, 'Full Player List'!X$2:X$1737),0)</f>
        <v>8.8000000000000007</v>
      </c>
      <c r="M13" s="2">
        <f>IFERROR(AVERAGEIF('Full Player List'!$C$2:$C$1737, $C13, 'Full Player List'!Y$2:Y$1737),0)</f>
        <v>0</v>
      </c>
      <c r="N13" s="2">
        <f>IFERROR(AVERAGEIF('Full Player List'!$C$2:$C$1737, $C13, 'Full Player List'!Z$2:Z$1737),0)</f>
        <v>0.2</v>
      </c>
      <c r="O13" s="2"/>
    </row>
    <row r="14" spans="1:15" x14ac:dyDescent="0.3">
      <c r="A14">
        <v>328197</v>
      </c>
      <c r="B14" t="s">
        <v>69</v>
      </c>
      <c r="C14" t="s">
        <v>586</v>
      </c>
      <c r="G14" s="2">
        <f>IFERROR(AVERAGEIF('Full Player List'!$C$2:$C$1737, $C14, 'Full Player List'!S$2:S$1737),0)</f>
        <v>0.4</v>
      </c>
      <c r="H14" s="2">
        <f>IFERROR(AVERAGEIF('Full Player List'!$C$2:$C$1737, $C14, 'Full Player List'!T$2:T$1737),0)</f>
        <v>2</v>
      </c>
      <c r="I14" s="2">
        <f>IFERROR(AVERAGEIF('Full Player List'!$C$2:$C$1737, $C14, 'Full Player List'!U$2:U$1737),0)</f>
        <v>2.8</v>
      </c>
      <c r="J14" s="2">
        <f>IFERROR(AVERAGEIF('Full Player List'!$C$2:$C$1737, $C14, 'Full Player List'!V$2:V$1737),0)</f>
        <v>13.6</v>
      </c>
      <c r="K14" s="2">
        <f>IFERROR(AVERAGEIF('Full Player List'!$C$2:$C$1737, $C14, 'Full Player List'!W$2:W$1737),0)</f>
        <v>19.399999999999999</v>
      </c>
      <c r="L14" s="2">
        <f>IFERROR(AVERAGEIF('Full Player List'!$C$2:$C$1737, $C14, 'Full Player List'!X$2:X$1737),0)</f>
        <v>4.2</v>
      </c>
      <c r="M14" s="2">
        <f>IFERROR(AVERAGEIF('Full Player List'!$C$2:$C$1737, $C14, 'Full Player List'!Y$2:Y$1737),0)</f>
        <v>0</v>
      </c>
      <c r="N14" s="2">
        <f>IFERROR(AVERAGEIF('Full Player List'!$C$2:$C$1737, $C14, 'Full Player List'!Z$2:Z$1737),0)</f>
        <v>0</v>
      </c>
      <c r="O14" s="2"/>
    </row>
    <row r="15" spans="1:15" x14ac:dyDescent="0.3"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G16" s="2"/>
      <c r="H16" s="2"/>
      <c r="I16" s="2"/>
      <c r="J16" s="2"/>
      <c r="K16" s="2"/>
      <c r="L16" s="2"/>
      <c r="M16" s="2"/>
      <c r="N16" s="2"/>
      <c r="O16" s="2"/>
    </row>
    <row r="17" spans="7:15" x14ac:dyDescent="0.3">
      <c r="G17" s="2"/>
      <c r="H17" s="2"/>
      <c r="I17" s="2"/>
      <c r="J17" s="2"/>
      <c r="K17" s="2"/>
      <c r="L17" s="2"/>
      <c r="M17" s="2"/>
      <c r="N17" s="2"/>
      <c r="O17" s="2"/>
    </row>
    <row r="18" spans="7:15" x14ac:dyDescent="0.3">
      <c r="G18" s="2"/>
      <c r="H18" s="2"/>
      <c r="I18" s="2"/>
      <c r="J18" s="2"/>
      <c r="K18" s="2"/>
      <c r="L18" s="2"/>
      <c r="M18" s="2"/>
      <c r="N18" s="2"/>
      <c r="O18" s="2"/>
    </row>
    <row r="19" spans="7:15" x14ac:dyDescent="0.3">
      <c r="G19" s="2"/>
      <c r="H19" s="2"/>
      <c r="I19" s="2"/>
      <c r="J19" s="2"/>
      <c r="K19" s="2"/>
      <c r="L19" s="2"/>
      <c r="M19" s="2"/>
      <c r="N19" s="2"/>
      <c r="O19" s="2"/>
    </row>
    <row r="20" spans="7:15" x14ac:dyDescent="0.3">
      <c r="G20" s="2"/>
      <c r="H20" s="2"/>
      <c r="I20" s="2"/>
      <c r="J20" s="2"/>
      <c r="K20" s="2"/>
      <c r="L20" s="2"/>
      <c r="M20" s="2"/>
      <c r="N20" s="2"/>
      <c r="O20" s="2"/>
    </row>
    <row r="21" spans="7:15" x14ac:dyDescent="0.3">
      <c r="G21" s="2"/>
      <c r="H21" s="2"/>
      <c r="I21" s="2"/>
      <c r="J21" s="2"/>
      <c r="K21" s="2"/>
      <c r="L21" s="2"/>
      <c r="M21" s="2"/>
      <c r="N21" s="2"/>
      <c r="O21" s="2"/>
    </row>
    <row r="22" spans="7:15" x14ac:dyDescent="0.3">
      <c r="G22" s="2"/>
      <c r="H22" s="2"/>
      <c r="I22" s="2"/>
      <c r="J22" s="2"/>
      <c r="K22" s="2"/>
      <c r="L22" s="2"/>
      <c r="M22" s="2"/>
      <c r="N22" s="2"/>
      <c r="O22" s="2"/>
    </row>
    <row r="23" spans="7:15" x14ac:dyDescent="0.3">
      <c r="G23" s="2"/>
      <c r="H23" s="2"/>
      <c r="I23" s="2"/>
      <c r="J23" s="2"/>
      <c r="K23" s="2"/>
      <c r="L23" s="2"/>
      <c r="M23" s="2"/>
      <c r="N23" s="2"/>
      <c r="O2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D674-6E59-45AA-8050-FBA7B26BDFDE}">
  <dimension ref="A1:M29"/>
  <sheetViews>
    <sheetView workbookViewId="0">
      <selection activeCell="G10" sqref="G10"/>
    </sheetView>
  </sheetViews>
  <sheetFormatPr defaultRowHeight="14.4" x14ac:dyDescent="0.3"/>
  <cols>
    <col min="5" max="5" width="17.33203125" bestFit="1" customWidth="1"/>
    <col min="7" max="7" width="20.5546875" bestFit="1" customWidth="1"/>
    <col min="8" max="8" width="10.5546875" bestFit="1" customWidth="1"/>
    <col min="9" max="9" width="13" bestFit="1" customWidth="1"/>
    <col min="10" max="10" width="11.5546875" bestFit="1" customWidth="1"/>
    <col min="11" max="11" width="12.5546875" bestFit="1" customWidth="1"/>
    <col min="12" max="12" width="11.5546875" bestFit="1" customWidth="1"/>
    <col min="13" max="13" width="10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">
      <c r="A2">
        <v>325312</v>
      </c>
      <c r="B2" t="s">
        <v>84</v>
      </c>
      <c r="C2" t="s">
        <v>515</v>
      </c>
      <c r="G2" s="5">
        <f>AVERAGEIF('Full Player List'!$C$1:$C$1738, $C2, 'Full Player List'!S$1:S$1738)</f>
        <v>2.8333333333333335</v>
      </c>
      <c r="H2" s="5">
        <f>AVERAGEIF('Full Player List'!$C$1:$C$1738, $C2, 'Full Player List'!T$1:T$1738)</f>
        <v>2.1666666666666665</v>
      </c>
      <c r="I2" s="5">
        <f>AVERAGEIF('Full Player List'!$C$1:$C$1738, $C2, 'Full Player List'!U$1:U$1738)</f>
        <v>2.1666666666666665</v>
      </c>
      <c r="J2" s="5">
        <f>AVERAGEIF('Full Player List'!$C$1:$C$1738, $C2, 'Full Player List'!V$1:V$1738)</f>
        <v>32.666666666666664</v>
      </c>
      <c r="K2" s="5">
        <f>AVERAGEIF('Full Player List'!$C$1:$C$1738, $C2, 'Full Player List'!W$1:W$1738)</f>
        <v>51</v>
      </c>
      <c r="L2" s="5">
        <f>AVERAGEIF('Full Player List'!$C$1:$C$1738, $C2, 'Full Player List'!X$1:X$1738)</f>
        <v>5.916666666666667</v>
      </c>
      <c r="M2" s="5">
        <f>IFERROR(AVERAGEIF('Full Player List'!$C$1:$C$1738, $C2, 'Full Player List'!Y$1:Y$1738),0)</f>
        <v>1</v>
      </c>
    </row>
    <row r="3" spans="1:13" x14ac:dyDescent="0.3">
      <c r="A3">
        <v>341036</v>
      </c>
      <c r="B3" t="s">
        <v>84</v>
      </c>
      <c r="C3" t="s">
        <v>649</v>
      </c>
      <c r="G3" s="5">
        <f>AVERAGEIF('Full Player List'!$C$1:$C$1738, $C3, 'Full Player List'!S$1:S$1738)</f>
        <v>1.8</v>
      </c>
      <c r="H3" s="5">
        <f>AVERAGEIF('Full Player List'!$C$1:$C$1738, $C3, 'Full Player List'!T$1:T$1738)</f>
        <v>2</v>
      </c>
      <c r="I3" s="5">
        <f>AVERAGEIF('Full Player List'!$C$1:$C$1738, $C3, 'Full Player List'!U$1:U$1738)</f>
        <v>0.7</v>
      </c>
      <c r="J3" s="5">
        <f>AVERAGEIF('Full Player List'!$C$1:$C$1738, $C3, 'Full Player List'!V$1:V$1738)</f>
        <v>24.2</v>
      </c>
      <c r="K3" s="5">
        <f>AVERAGEIF('Full Player List'!$C$1:$C$1738, $C3, 'Full Player List'!W$1:W$1738)</f>
        <v>38</v>
      </c>
      <c r="L3" s="5">
        <f>AVERAGEIF('Full Player List'!$C$1:$C$1738, $C3, 'Full Player List'!X$1:X$1738)</f>
        <v>4.2</v>
      </c>
      <c r="M3" s="5">
        <f>IFERROR(AVERAGEIF('Full Player List'!$C$1:$C$1738, $C3, 'Full Player List'!Y$1:Y$1738),0)</f>
        <v>1.5</v>
      </c>
    </row>
    <row r="4" spans="1:13" x14ac:dyDescent="0.3">
      <c r="A4">
        <v>348755</v>
      </c>
      <c r="B4" t="s">
        <v>84</v>
      </c>
      <c r="C4" t="s">
        <v>669</v>
      </c>
      <c r="G4" s="5">
        <f>AVERAGEIF('Full Player List'!$C$1:$C$1738, $C4, 'Full Player List'!S$1:S$1738)</f>
        <v>1.8</v>
      </c>
      <c r="H4" s="5">
        <f>AVERAGEIF('Full Player List'!$C$1:$C$1738, $C4, 'Full Player List'!T$1:T$1738)</f>
        <v>1.6</v>
      </c>
      <c r="I4" s="5">
        <f>AVERAGEIF('Full Player List'!$C$1:$C$1738, $C4, 'Full Player List'!U$1:U$1738)</f>
        <v>0.6</v>
      </c>
      <c r="J4" s="5">
        <f>AVERAGEIF('Full Player List'!$C$1:$C$1738, $C4, 'Full Player List'!V$1:V$1738)</f>
        <v>31.8</v>
      </c>
      <c r="K4" s="5">
        <f>AVERAGEIF('Full Player List'!$C$1:$C$1738, $C4, 'Full Player List'!W$1:W$1738)</f>
        <v>60.2</v>
      </c>
      <c r="L4" s="5">
        <f>AVERAGEIF('Full Player List'!$C$1:$C$1738, $C4, 'Full Player List'!X$1:X$1738)</f>
        <v>5.8</v>
      </c>
      <c r="M4" s="5">
        <f>IFERROR(AVERAGEIF('Full Player List'!$C$1:$C$1738, $C4, 'Full Player List'!Y$1:Y$1738),0)</f>
        <v>2</v>
      </c>
    </row>
    <row r="5" spans="1:13" x14ac:dyDescent="0.3">
      <c r="A5">
        <v>350070</v>
      </c>
      <c r="B5" t="s">
        <v>84</v>
      </c>
      <c r="C5" t="s">
        <v>700</v>
      </c>
      <c r="G5" s="5">
        <f>AVERAGEIF('Full Player List'!$C$1:$C$1738, $C5, 'Full Player List'!S$1:S$1738)</f>
        <v>2.8</v>
      </c>
      <c r="H5" s="5">
        <f>AVERAGEIF('Full Player List'!$C$1:$C$1738, $C5, 'Full Player List'!T$1:T$1738)</f>
        <v>1.2</v>
      </c>
      <c r="I5" s="5">
        <f>AVERAGEIF('Full Player List'!$C$1:$C$1738, $C5, 'Full Player List'!U$1:U$1738)</f>
        <v>1.2</v>
      </c>
      <c r="J5" s="5">
        <f>AVERAGEIF('Full Player List'!$C$1:$C$1738, $C5, 'Full Player List'!V$1:V$1738)</f>
        <v>23.8</v>
      </c>
      <c r="K5" s="5">
        <f>AVERAGEIF('Full Player List'!$C$1:$C$1738, $C5, 'Full Player List'!W$1:W$1738)</f>
        <v>49.2</v>
      </c>
      <c r="L5" s="5">
        <f>AVERAGEIF('Full Player List'!$C$1:$C$1738, $C5, 'Full Player List'!X$1:X$1738)</f>
        <v>5.2</v>
      </c>
      <c r="M5" s="5">
        <f>IFERROR(AVERAGEIF('Full Player List'!$C$1:$C$1738, $C5, 'Full Player List'!Y$1:Y$1738),0)</f>
        <v>2.5</v>
      </c>
    </row>
    <row r="6" spans="1:13" x14ac:dyDescent="0.3">
      <c r="A6">
        <v>353749</v>
      </c>
      <c r="B6" t="s">
        <v>84</v>
      </c>
      <c r="C6" t="s">
        <v>753</v>
      </c>
      <c r="G6" s="5">
        <f>AVERAGEIF('Full Player List'!$C$1:$C$1738, $C6, 'Full Player List'!S$1:S$1738)</f>
        <v>4.25</v>
      </c>
      <c r="H6" s="5">
        <f>AVERAGEIF('Full Player List'!$C$1:$C$1738, $C6, 'Full Player List'!T$1:T$1738)</f>
        <v>1.75</v>
      </c>
      <c r="I6" s="5">
        <f>AVERAGEIF('Full Player List'!$C$1:$C$1738, $C6, 'Full Player List'!U$1:U$1738)</f>
        <v>2.25</v>
      </c>
      <c r="J6" s="5">
        <f>AVERAGEIF('Full Player List'!$C$1:$C$1738, $C6, 'Full Player List'!V$1:V$1738)</f>
        <v>35.5</v>
      </c>
      <c r="K6" s="5">
        <f>AVERAGEIF('Full Player List'!$C$1:$C$1738, $C6, 'Full Player List'!W$1:W$1738)</f>
        <v>74.25</v>
      </c>
      <c r="L6" s="5">
        <f>AVERAGEIF('Full Player List'!$C$1:$C$1738, $C6, 'Full Player List'!X$1:X$1738)</f>
        <v>6.5</v>
      </c>
      <c r="M6" s="5">
        <f>IFERROR(AVERAGEIF('Full Player List'!$C$1:$C$1738, $C6, 'Full Player List'!Y$1:Y$1738),0)</f>
        <v>1.75</v>
      </c>
    </row>
    <row r="7" spans="1:13" x14ac:dyDescent="0.3">
      <c r="A7">
        <v>354509</v>
      </c>
      <c r="B7" t="s">
        <v>84</v>
      </c>
      <c r="C7" t="s">
        <v>754</v>
      </c>
      <c r="G7" s="5">
        <f>AVERAGEIF('Full Player List'!$C$1:$C$1738, $C7, 'Full Player List'!S$1:S$1738)</f>
        <v>3</v>
      </c>
      <c r="H7" s="5">
        <f>AVERAGEIF('Full Player List'!$C$1:$C$1738, $C7, 'Full Player List'!T$1:T$1738)</f>
        <v>6.5</v>
      </c>
      <c r="I7" s="5">
        <f>AVERAGEIF('Full Player List'!$C$1:$C$1738, $C7, 'Full Player List'!U$1:U$1738)</f>
        <v>4.75</v>
      </c>
      <c r="J7" s="5">
        <f>AVERAGEIF('Full Player List'!$C$1:$C$1738, $C7, 'Full Player List'!V$1:V$1738)</f>
        <v>62.5</v>
      </c>
      <c r="K7" s="5">
        <f>AVERAGEIF('Full Player List'!$C$1:$C$1738, $C7, 'Full Player List'!W$1:W$1738)</f>
        <v>102</v>
      </c>
      <c r="L7" s="5">
        <f>AVERAGEIF('Full Player List'!$C$1:$C$1738, $C7, 'Full Player List'!X$1:X$1738)</f>
        <v>16.25</v>
      </c>
      <c r="M7" s="5">
        <f>IFERROR(AVERAGEIF('Full Player List'!$C$1:$C$1738, $C7, 'Full Player List'!Y$1:Y$1738),0)</f>
        <v>1.5</v>
      </c>
    </row>
    <row r="8" spans="1:13" x14ac:dyDescent="0.3">
      <c r="A8">
        <v>360150</v>
      </c>
      <c r="B8" t="s">
        <v>84</v>
      </c>
      <c r="C8" t="s">
        <v>768</v>
      </c>
      <c r="G8" s="5">
        <f>AVERAGEIF('Full Player List'!$C$1:$C$1738, $C8, 'Full Player List'!S$1:S$1738)</f>
        <v>2.25</v>
      </c>
      <c r="H8" s="5">
        <f>AVERAGEIF('Full Player List'!$C$1:$C$1738, $C8, 'Full Player List'!T$1:T$1738)</f>
        <v>3</v>
      </c>
      <c r="I8" s="5">
        <f>AVERAGEIF('Full Player List'!$C$1:$C$1738, $C8, 'Full Player List'!U$1:U$1738)</f>
        <v>3.25</v>
      </c>
      <c r="J8" s="5">
        <f>AVERAGEIF('Full Player List'!$C$1:$C$1738, $C8, 'Full Player List'!V$1:V$1738)</f>
        <v>35</v>
      </c>
      <c r="K8" s="5">
        <f>AVERAGEIF('Full Player List'!$C$1:$C$1738, $C8, 'Full Player List'!W$1:W$1738)</f>
        <v>62.75</v>
      </c>
      <c r="L8" s="5">
        <f>AVERAGEIF('Full Player List'!$C$1:$C$1738, $C8, 'Full Player List'!X$1:X$1738)</f>
        <v>8.375</v>
      </c>
      <c r="M8" s="5">
        <f>IFERROR(AVERAGEIF('Full Player List'!$C$1:$C$1738, $C8, 'Full Player List'!Y$1:Y$1738),0)</f>
        <v>1</v>
      </c>
    </row>
    <row r="9" spans="1:13" x14ac:dyDescent="0.3">
      <c r="A9">
        <v>361555</v>
      </c>
      <c r="B9" t="s">
        <v>84</v>
      </c>
      <c r="C9" t="s">
        <v>776</v>
      </c>
      <c r="G9" s="5">
        <f>AVERAGEIF('Full Player List'!$C$1:$C$1738, $C9, 'Full Player List'!S$1:S$1738)</f>
        <v>1.25</v>
      </c>
      <c r="H9" s="5">
        <f>AVERAGEIF('Full Player List'!$C$1:$C$1738, $C9, 'Full Player List'!T$1:T$1738)</f>
        <v>2.25</v>
      </c>
      <c r="I9" s="5">
        <f>AVERAGEIF('Full Player List'!$C$1:$C$1738, $C9, 'Full Player List'!U$1:U$1738)</f>
        <v>3.25</v>
      </c>
      <c r="J9" s="5">
        <f>AVERAGEIF('Full Player List'!$C$1:$C$1738, $C9, 'Full Player List'!V$1:V$1738)</f>
        <v>29.5</v>
      </c>
      <c r="K9" s="5">
        <f>AVERAGEIF('Full Player List'!$C$1:$C$1738, $C9, 'Full Player List'!W$1:W$1738)</f>
        <v>45.5</v>
      </c>
      <c r="L9" s="5">
        <f>AVERAGEIF('Full Player List'!$C$1:$C$1738, $C9, 'Full Player List'!X$1:X$1738)</f>
        <v>6</v>
      </c>
      <c r="M9" s="5">
        <f>IFERROR(AVERAGEIF('Full Player List'!$C$1:$C$1738, $C9, 'Full Player List'!Y$1:Y$1738),0)</f>
        <v>1</v>
      </c>
    </row>
    <row r="10" spans="1:13" x14ac:dyDescent="0.3">
      <c r="A10">
        <v>362581</v>
      </c>
      <c r="B10" t="s">
        <v>84</v>
      </c>
      <c r="C10" t="s">
        <v>792</v>
      </c>
      <c r="G10" s="5">
        <f>AVERAGEIF('Full Player List'!$C$1:$C$1738, $C10, 'Full Player List'!S$1:S$1738)</f>
        <v>0.75</v>
      </c>
      <c r="H10" s="5">
        <f>AVERAGEIF('Full Player List'!$C$1:$C$1738, $C10, 'Full Player List'!T$1:T$1738)</f>
        <v>2.75</v>
      </c>
      <c r="I10" s="5">
        <f>AVERAGEIF('Full Player List'!$C$1:$C$1738, $C10, 'Full Player List'!U$1:U$1738)</f>
        <v>1.375</v>
      </c>
      <c r="J10" s="5">
        <f>AVERAGEIF('Full Player List'!$C$1:$C$1738, $C10, 'Full Player List'!V$1:V$1738)</f>
        <v>29.75</v>
      </c>
      <c r="K10" s="5">
        <f>AVERAGEIF('Full Player List'!$C$1:$C$1738, $C10, 'Full Player List'!W$1:W$1738)</f>
        <v>63.25</v>
      </c>
      <c r="L10" s="5">
        <f>AVERAGEIF('Full Player List'!$C$1:$C$1738, $C10, 'Full Player List'!X$1:X$1738)</f>
        <v>4.375</v>
      </c>
      <c r="M10" s="5">
        <f>IFERROR(AVERAGEIF('Full Player List'!$C$1:$C$1738, $C10, 'Full Player List'!Y$1:Y$1738),0)</f>
        <v>2</v>
      </c>
    </row>
    <row r="11" spans="1:13" x14ac:dyDescent="0.3">
      <c r="A11">
        <v>305707</v>
      </c>
      <c r="B11" t="s">
        <v>84</v>
      </c>
      <c r="C11" t="s">
        <v>375</v>
      </c>
      <c r="G11" s="5">
        <f>AVERAGEIF('Full Player List'!$C$1:$C$1738, $C11, 'Full Player List'!S$1:S$1738)</f>
        <v>1.3333333333333333</v>
      </c>
      <c r="H11" s="5">
        <f>AVERAGEIF('Full Player List'!$C$1:$C$1738, $C11, 'Full Player List'!T$1:T$1738)</f>
        <v>0.16666666666666666</v>
      </c>
      <c r="I11" s="5">
        <f>AVERAGEIF('Full Player List'!$C$1:$C$1738, $C11, 'Full Player List'!U$1:U$1738)</f>
        <v>0.41666666666666669</v>
      </c>
      <c r="J11" s="5">
        <f>AVERAGEIF('Full Player List'!$C$1:$C$1738, $C11, 'Full Player List'!V$1:V$1738)</f>
        <v>19.666666666666668</v>
      </c>
      <c r="K11" s="5">
        <f>AVERAGEIF('Full Player List'!$C$1:$C$1738, $C11, 'Full Player List'!W$1:W$1738)</f>
        <v>45</v>
      </c>
      <c r="L11" s="5">
        <f>AVERAGEIF('Full Player List'!$C$1:$C$1738, $C11, 'Full Player List'!X$1:X$1738)</f>
        <v>2.75</v>
      </c>
      <c r="M11" s="5">
        <f>IFERROR(AVERAGEIF('Full Player List'!$C$1:$C$1738, $C11, 'Full Player List'!Y$1:Y$1738),0)</f>
        <v>1</v>
      </c>
    </row>
    <row r="12" spans="1:13" x14ac:dyDescent="0.3">
      <c r="A12">
        <v>325000</v>
      </c>
      <c r="B12" t="s">
        <v>84</v>
      </c>
      <c r="C12" t="s">
        <v>510</v>
      </c>
      <c r="G12" s="5">
        <f>AVERAGEIF('Full Player List'!$C$1:$C$1738, $C12, 'Full Player List'!S$1:S$1738)</f>
        <v>4</v>
      </c>
      <c r="H12" s="5">
        <f>AVERAGEIF('Full Player List'!$C$1:$C$1738, $C12, 'Full Player List'!T$1:T$1738)</f>
        <v>0.2</v>
      </c>
      <c r="I12" s="5">
        <f>AVERAGEIF('Full Player List'!$C$1:$C$1738, $C12, 'Full Player List'!U$1:U$1738)</f>
        <v>1.3</v>
      </c>
      <c r="J12" s="5">
        <f>AVERAGEIF('Full Player List'!$C$1:$C$1738, $C12, 'Full Player List'!V$1:V$1738)</f>
        <v>30</v>
      </c>
      <c r="K12" s="5">
        <f>AVERAGEIF('Full Player List'!$C$1:$C$1738, $C12, 'Full Player List'!W$1:W$1738)</f>
        <v>52</v>
      </c>
      <c r="L12" s="5">
        <f>AVERAGEIF('Full Player List'!$C$1:$C$1738, $C12, 'Full Player List'!X$1:X$1738)</f>
        <v>5.4</v>
      </c>
      <c r="M12" s="5">
        <f>IFERROR(AVERAGEIF('Full Player List'!$C$1:$C$1738, $C12, 'Full Player List'!Y$1:Y$1738),0)</f>
        <v>2</v>
      </c>
    </row>
    <row r="13" spans="1:13" x14ac:dyDescent="0.3">
      <c r="A13">
        <v>326470</v>
      </c>
      <c r="B13" t="s">
        <v>84</v>
      </c>
      <c r="C13" t="s">
        <v>551</v>
      </c>
      <c r="G13" s="5">
        <f>AVERAGEIF('Full Player List'!$C$1:$C$1738, $C13, 'Full Player List'!S$1:S$1738)</f>
        <v>1</v>
      </c>
      <c r="H13" s="5">
        <f>AVERAGEIF('Full Player List'!$C$1:$C$1738, $C13, 'Full Player List'!T$1:T$1738)</f>
        <v>1.4</v>
      </c>
      <c r="I13" s="5">
        <f>AVERAGEIF('Full Player List'!$C$1:$C$1738, $C13, 'Full Player List'!U$1:U$1738)</f>
        <v>2</v>
      </c>
      <c r="J13" s="5">
        <f>AVERAGEIF('Full Player List'!$C$1:$C$1738, $C13, 'Full Player List'!V$1:V$1738)</f>
        <v>30.6</v>
      </c>
      <c r="K13" s="5">
        <f>AVERAGEIF('Full Player List'!$C$1:$C$1738, $C13, 'Full Player List'!W$1:W$1738)</f>
        <v>47.6</v>
      </c>
      <c r="L13" s="5">
        <f>AVERAGEIF('Full Player List'!$C$1:$C$1738, $C13, 'Full Player List'!X$1:X$1738)</f>
        <v>7.2</v>
      </c>
      <c r="M13" s="5">
        <f>IFERROR(AVERAGEIF('Full Player List'!$C$1:$C$1738, $C13, 'Full Player List'!Y$1:Y$1738),0)</f>
        <v>0</v>
      </c>
    </row>
    <row r="14" spans="1:13" x14ac:dyDescent="0.3">
      <c r="A14">
        <v>327784</v>
      </c>
      <c r="B14" t="s">
        <v>84</v>
      </c>
      <c r="C14" t="s">
        <v>572</v>
      </c>
      <c r="G14" s="5">
        <f>AVERAGEIF('Full Player List'!$C$1:$C$1738, $C14, 'Full Player List'!S$1:S$1738)</f>
        <v>1.5</v>
      </c>
      <c r="H14" s="5">
        <f>AVERAGEIF('Full Player List'!$C$1:$C$1738, $C14, 'Full Player List'!T$1:T$1738)</f>
        <v>1.25</v>
      </c>
      <c r="I14" s="5">
        <f>AVERAGEIF('Full Player List'!$C$1:$C$1738, $C14, 'Full Player List'!U$1:U$1738)</f>
        <v>0.75</v>
      </c>
      <c r="J14" s="5">
        <f>AVERAGEIF('Full Player List'!$C$1:$C$1738, $C14, 'Full Player List'!V$1:V$1738)</f>
        <v>27.25</v>
      </c>
      <c r="K14" s="5">
        <f>AVERAGEIF('Full Player List'!$C$1:$C$1738, $C14, 'Full Player List'!W$1:W$1738)</f>
        <v>50.25</v>
      </c>
      <c r="L14" s="5">
        <f>AVERAGEIF('Full Player List'!$C$1:$C$1738, $C14, 'Full Player List'!X$1:X$1738)</f>
        <v>3.25</v>
      </c>
      <c r="M14" s="5">
        <f>IFERROR(AVERAGEIF('Full Player List'!$C$1:$C$1738, $C14, 'Full Player List'!Y$1:Y$1738),0)</f>
        <v>1.3333333333333333</v>
      </c>
    </row>
    <row r="15" spans="1:13" x14ac:dyDescent="0.3">
      <c r="A15">
        <v>330865</v>
      </c>
      <c r="B15" t="s">
        <v>84</v>
      </c>
      <c r="C15" t="s">
        <v>614</v>
      </c>
      <c r="G15" s="5">
        <f>AVERAGEIF('Full Player List'!$C$1:$C$1738, $C15, 'Full Player List'!S$1:S$1738)</f>
        <v>0.33333333333333331</v>
      </c>
      <c r="H15" s="5">
        <f>AVERAGEIF('Full Player List'!$C$1:$C$1738, $C15, 'Full Player List'!T$1:T$1738)</f>
        <v>1.3333333333333333</v>
      </c>
      <c r="I15" s="5">
        <f>AVERAGEIF('Full Player List'!$C$1:$C$1738, $C15, 'Full Player List'!U$1:U$1738)</f>
        <v>1.5</v>
      </c>
      <c r="J15" s="5">
        <f>AVERAGEIF('Full Player List'!$C$1:$C$1738, $C15, 'Full Player List'!V$1:V$1738)</f>
        <v>42</v>
      </c>
      <c r="K15" s="5">
        <f>AVERAGEIF('Full Player List'!$C$1:$C$1738, $C15, 'Full Player List'!W$1:W$1738)</f>
        <v>74.666666666666671</v>
      </c>
      <c r="L15" s="5">
        <f>AVERAGEIF('Full Player List'!$C$1:$C$1738, $C15, 'Full Player List'!X$1:X$1738)</f>
        <v>3.8333333333333335</v>
      </c>
      <c r="M15" s="5">
        <f>IFERROR(AVERAGEIF('Full Player List'!$C$1:$C$1738, $C15, 'Full Player List'!Y$1:Y$1738),0)</f>
        <v>0</v>
      </c>
    </row>
    <row r="16" spans="1:13" x14ac:dyDescent="0.3">
      <c r="A16">
        <v>336489</v>
      </c>
      <c r="B16" t="s">
        <v>84</v>
      </c>
      <c r="C16" t="s">
        <v>622</v>
      </c>
      <c r="G16" s="5">
        <f>AVERAGEIF('Full Player List'!$C$1:$C$1738, $C16, 'Full Player List'!S$1:S$1738)</f>
        <v>1.75</v>
      </c>
      <c r="H16" s="5">
        <f>AVERAGEIF('Full Player List'!$C$1:$C$1738, $C16, 'Full Player List'!T$1:T$1738)</f>
        <v>1.5</v>
      </c>
      <c r="I16" s="5">
        <f>AVERAGEIF('Full Player List'!$C$1:$C$1738, $C16, 'Full Player List'!U$1:U$1738)</f>
        <v>1.875</v>
      </c>
      <c r="J16" s="5">
        <f>AVERAGEIF('Full Player List'!$C$1:$C$1738, $C16, 'Full Player List'!V$1:V$1738)</f>
        <v>44</v>
      </c>
      <c r="K16" s="5">
        <f>AVERAGEIF('Full Player List'!$C$1:$C$1738, $C16, 'Full Player List'!W$1:W$1738)</f>
        <v>106</v>
      </c>
      <c r="L16" s="5">
        <f>AVERAGEIF('Full Player List'!$C$1:$C$1738, $C16, 'Full Player List'!X$1:X$1738)</f>
        <v>5.25</v>
      </c>
      <c r="M16" s="5">
        <f>IFERROR(AVERAGEIF('Full Player List'!$C$1:$C$1738, $C16, 'Full Player List'!Y$1:Y$1738),0)</f>
        <v>1</v>
      </c>
    </row>
    <row r="17" spans="1:13" x14ac:dyDescent="0.3">
      <c r="A17">
        <v>367710</v>
      </c>
      <c r="B17" t="s">
        <v>84</v>
      </c>
      <c r="C17" t="s">
        <v>812</v>
      </c>
      <c r="G17" s="5">
        <f>AVERAGEIF('Full Player List'!$C$1:$C$1738, $C17, 'Full Player List'!S$1:S$1738)</f>
        <v>0.66666666666666663</v>
      </c>
      <c r="H17" s="5">
        <f>AVERAGEIF('Full Player List'!$C$1:$C$1738, $C17, 'Full Player List'!T$1:T$1738)</f>
        <v>3.3333333333333335</v>
      </c>
      <c r="I17" s="5">
        <f>AVERAGEIF('Full Player List'!$C$1:$C$1738, $C17, 'Full Player List'!U$1:U$1738)</f>
        <v>2.1666666666666665</v>
      </c>
      <c r="J17" s="5">
        <f>AVERAGEIF('Full Player List'!$C$1:$C$1738, $C17, 'Full Player List'!V$1:V$1738)</f>
        <v>28</v>
      </c>
      <c r="K17" s="5">
        <f>AVERAGEIF('Full Player List'!$C$1:$C$1738, $C17, 'Full Player List'!W$1:W$1738)</f>
        <v>50.333333333333336</v>
      </c>
      <c r="L17" s="5">
        <f>AVERAGEIF('Full Player List'!$C$1:$C$1738, $C17, 'Full Player List'!X$1:X$1738)</f>
        <v>6.666666666666667</v>
      </c>
      <c r="M17" s="5">
        <f>IFERROR(AVERAGEIF('Full Player List'!$C$1:$C$1738, $C17, 'Full Player List'!Y$1:Y$1738),0)</f>
        <v>1</v>
      </c>
    </row>
    <row r="18" spans="1:13" x14ac:dyDescent="0.3">
      <c r="A18">
        <v>339245</v>
      </c>
      <c r="B18" t="s">
        <v>84</v>
      </c>
      <c r="C18" t="s">
        <v>643</v>
      </c>
      <c r="G18" s="5">
        <f>AVERAGEIF('Full Player List'!$C$1:$C$1738, $C18, 'Full Player List'!S$1:S$1738)</f>
        <v>2.2000000000000002</v>
      </c>
      <c r="H18" s="5">
        <f>AVERAGEIF('Full Player List'!$C$1:$C$1738, $C18, 'Full Player List'!T$1:T$1738)</f>
        <v>1.4</v>
      </c>
      <c r="I18" s="5">
        <f>AVERAGEIF('Full Player List'!$C$1:$C$1738, $C18, 'Full Player List'!U$1:U$1738)</f>
        <v>2.2999999999999998</v>
      </c>
      <c r="J18" s="5">
        <f>AVERAGEIF('Full Player List'!$C$1:$C$1738, $C18, 'Full Player List'!V$1:V$1738)</f>
        <v>21.8</v>
      </c>
      <c r="K18" s="5">
        <f>AVERAGEIF('Full Player List'!$C$1:$C$1738, $C18, 'Full Player List'!W$1:W$1738)</f>
        <v>40.200000000000003</v>
      </c>
      <c r="L18" s="5">
        <f>AVERAGEIF('Full Player List'!$C$1:$C$1738, $C18, 'Full Player List'!X$1:X$1738)</f>
        <v>4.5</v>
      </c>
      <c r="M18" s="5">
        <f>IFERROR(AVERAGEIF('Full Player List'!$C$1:$C$1738, $C18, 'Full Player List'!Y$1:Y$1738),0)</f>
        <v>1</v>
      </c>
    </row>
    <row r="19" spans="1:13" x14ac:dyDescent="0.3">
      <c r="A19">
        <v>350269</v>
      </c>
      <c r="B19" t="s">
        <v>84</v>
      </c>
      <c r="C19" t="s">
        <v>705</v>
      </c>
      <c r="G19" s="5">
        <f>AVERAGEIF('Full Player List'!$C$1:$C$1738, $C19, 'Full Player List'!S$1:S$1738)</f>
        <v>0.75</v>
      </c>
      <c r="H19" s="5">
        <f>AVERAGEIF('Full Player List'!$C$1:$C$1738, $C19, 'Full Player List'!T$1:T$1738)</f>
        <v>2</v>
      </c>
      <c r="I19" s="5">
        <f>AVERAGEIF('Full Player List'!$C$1:$C$1738, $C19, 'Full Player List'!U$1:U$1738)</f>
        <v>2.375</v>
      </c>
      <c r="J19" s="5">
        <f>AVERAGEIF('Full Player List'!$C$1:$C$1738, $C19, 'Full Player List'!V$1:V$1738)</f>
        <v>25.75</v>
      </c>
      <c r="K19" s="5">
        <f>AVERAGEIF('Full Player List'!$C$1:$C$1738, $C19, 'Full Player List'!W$1:W$1738)</f>
        <v>42.25</v>
      </c>
      <c r="L19" s="5">
        <f>AVERAGEIF('Full Player List'!$C$1:$C$1738, $C19, 'Full Player List'!X$1:X$1738)</f>
        <v>6</v>
      </c>
      <c r="M19" s="5">
        <f>IFERROR(AVERAGEIF('Full Player List'!$C$1:$C$1738, $C19, 'Full Player List'!Y$1:Y$1738),0)</f>
        <v>1</v>
      </c>
    </row>
    <row r="20" spans="1:13" x14ac:dyDescent="0.3">
      <c r="B20" t="s">
        <v>84</v>
      </c>
      <c r="G20" s="5"/>
      <c r="H20" s="5"/>
      <c r="I20" s="5"/>
      <c r="J20" s="5"/>
      <c r="K20" s="5"/>
      <c r="L20" s="5"/>
      <c r="M20" s="5"/>
    </row>
    <row r="21" spans="1:13" x14ac:dyDescent="0.3">
      <c r="B21" t="s">
        <v>84</v>
      </c>
      <c r="G21" s="5"/>
      <c r="H21" s="5"/>
      <c r="I21" s="5"/>
      <c r="J21" s="5"/>
      <c r="K21" s="5"/>
      <c r="L21" s="5"/>
      <c r="M21" s="5"/>
    </row>
    <row r="22" spans="1:13" x14ac:dyDescent="0.3">
      <c r="B22" t="s">
        <v>84</v>
      </c>
      <c r="G22" s="5"/>
      <c r="H22" s="5"/>
      <c r="I22" s="5"/>
      <c r="J22" s="5"/>
      <c r="K22" s="5"/>
      <c r="L22" s="5"/>
      <c r="M22" s="5"/>
    </row>
    <row r="23" spans="1:13" x14ac:dyDescent="0.3">
      <c r="B23" t="s">
        <v>84</v>
      </c>
      <c r="G23" s="5"/>
      <c r="H23" s="5"/>
      <c r="I23" s="5"/>
      <c r="J23" s="5"/>
      <c r="K23" s="5"/>
      <c r="L23" s="5"/>
      <c r="M23" s="5"/>
    </row>
    <row r="24" spans="1:13" x14ac:dyDescent="0.3">
      <c r="B24" t="s">
        <v>84</v>
      </c>
      <c r="G24" s="5"/>
      <c r="H24" s="5"/>
      <c r="I24" s="5"/>
      <c r="J24" s="5"/>
      <c r="K24" s="5"/>
      <c r="L24" s="5"/>
      <c r="M24" s="5"/>
    </row>
    <row r="25" spans="1:13" x14ac:dyDescent="0.3">
      <c r="B25" t="s">
        <v>84</v>
      </c>
      <c r="G25" s="5"/>
      <c r="H25" s="5"/>
      <c r="I25" s="5"/>
      <c r="J25" s="5"/>
      <c r="K25" s="5"/>
      <c r="L25" s="5"/>
      <c r="M25" s="5"/>
    </row>
    <row r="26" spans="1:13" x14ac:dyDescent="0.3">
      <c r="B26" t="s">
        <v>84</v>
      </c>
      <c r="G26" s="5"/>
      <c r="H26" s="5"/>
      <c r="I26" s="5"/>
      <c r="J26" s="5"/>
      <c r="K26" s="5"/>
      <c r="L26" s="5"/>
      <c r="M26" s="5"/>
    </row>
    <row r="27" spans="1:13" x14ac:dyDescent="0.3">
      <c r="B27" t="s">
        <v>84</v>
      </c>
      <c r="G27" s="5"/>
      <c r="H27" s="5"/>
      <c r="I27" s="5"/>
      <c r="J27" s="5"/>
      <c r="K27" s="5"/>
      <c r="L27" s="5"/>
      <c r="M27" s="5"/>
    </row>
    <row r="28" spans="1:13" x14ac:dyDescent="0.3">
      <c r="B28" t="s">
        <v>84</v>
      </c>
      <c r="G28" s="5"/>
      <c r="H28" s="5"/>
      <c r="I28" s="5"/>
      <c r="J28" s="5"/>
      <c r="K28" s="5"/>
      <c r="L28" s="5"/>
      <c r="M28" s="5"/>
    </row>
    <row r="29" spans="1:13" x14ac:dyDescent="0.3">
      <c r="B29" t="s">
        <v>84</v>
      </c>
      <c r="G29" s="5"/>
      <c r="H29" s="5"/>
      <c r="I29" s="5"/>
      <c r="J29" s="5"/>
      <c r="K29" s="5"/>
      <c r="L29" s="5"/>
      <c r="M2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BCC3-6024-4659-9281-9EFA5B627967}">
  <dimension ref="A1:AL3"/>
  <sheetViews>
    <sheetView topLeftCell="F1" workbookViewId="0">
      <selection activeCell="S2" sqref="S2:X2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348991</v>
      </c>
      <c r="B2" t="s">
        <v>80</v>
      </c>
      <c r="C2" t="s">
        <v>670</v>
      </c>
      <c r="D2">
        <v>2024</v>
      </c>
      <c r="E2" t="s">
        <v>74</v>
      </c>
      <c r="F2" t="s">
        <v>75</v>
      </c>
      <c r="S2">
        <f>IFERROR(AVERAGEIF('Full Player List'!$C$1:$C$1738, OB!$C2, 'Full Player List'!S$1:S$1738), 0)</f>
        <v>0.6</v>
      </c>
      <c r="T2">
        <f>IFERROR(AVERAGEIF('Full Player List'!$C$1:$C$1738, OB!$C2, 'Full Player List'!T$1:T$1738), 0)</f>
        <v>3.6</v>
      </c>
      <c r="U2">
        <f>IFERROR(AVERAGEIF('Full Player List'!$C$1:$C$1738, OB!$C2, 'Full Player List'!U$1:U$1738), 0)</f>
        <v>3.1</v>
      </c>
      <c r="V2">
        <f>IFERROR(AVERAGEIF('Full Player List'!$C$1:$C$1738, OB!$C2, 'Full Player List'!V$1:V$1738), 0)</f>
        <v>9.4</v>
      </c>
      <c r="W2">
        <f>IFERROR(AVERAGEIF('Full Player List'!$C$1:$C$1738, OB!$C2, 'Full Player List'!W$1:W$1738), 0)</f>
        <v>18</v>
      </c>
      <c r="X2">
        <f>IFERROR(AVERAGEIF('Full Player List'!$C$1:$C$1738, OB!$C2, 'Full Player List'!X$1:X$1738), 0)</f>
        <v>4.8</v>
      </c>
      <c r="Z2">
        <v>0</v>
      </c>
      <c r="AK2">
        <v>0</v>
      </c>
      <c r="AL2">
        <v>0</v>
      </c>
    </row>
    <row r="3" spans="1:38" x14ac:dyDescent="0.3">
      <c r="A3">
        <v>349298</v>
      </c>
      <c r="B3" t="s">
        <v>80</v>
      </c>
      <c r="C3" t="s">
        <v>681</v>
      </c>
      <c r="D3">
        <v>2024</v>
      </c>
      <c r="E3" t="s">
        <v>184</v>
      </c>
      <c r="F3" t="s">
        <v>185</v>
      </c>
      <c r="S3">
        <f>IFERROR(AVERAGEIF('Full Player List'!$C$1:$C$1738, OB!$C3, 'Full Player List'!S$1:S$1738), 0)</f>
        <v>0.6</v>
      </c>
      <c r="T3">
        <f>IFERROR(AVERAGEIF('Full Player List'!$C$1:$C$1738, OB!$C3, 'Full Player List'!T$1:T$1738), 0)</f>
        <v>2.2000000000000002</v>
      </c>
      <c r="U3">
        <f>IFERROR(AVERAGEIF('Full Player List'!$C$1:$C$1738, OB!$C3, 'Full Player List'!U$1:U$1738), 0)</f>
        <v>3</v>
      </c>
      <c r="V3">
        <f>IFERROR(AVERAGEIF('Full Player List'!$C$1:$C$1738, OB!$C3, 'Full Player List'!V$1:V$1738), 0)</f>
        <v>13.6</v>
      </c>
      <c r="W3">
        <f>IFERROR(AVERAGEIF('Full Player List'!$C$1:$C$1738, OB!$C3, 'Full Player List'!W$1:W$1738), 0)</f>
        <v>23.4</v>
      </c>
      <c r="X3">
        <f>IFERROR(AVERAGEIF('Full Player List'!$C$1:$C$1738, OB!$C3, 'Full Player List'!X$1:X$1738), 0)</f>
        <v>6.3</v>
      </c>
      <c r="Z3">
        <v>0</v>
      </c>
      <c r="AK3">
        <v>0</v>
      </c>
      <c r="AL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7B4D-00D5-4B58-9110-5ACAE9F4498A}">
  <dimension ref="A1:AA29"/>
  <sheetViews>
    <sheetView zoomScale="64" workbookViewId="0">
      <selection activeCell="C28" sqref="C28"/>
    </sheetView>
  </sheetViews>
  <sheetFormatPr defaultRowHeight="14.4" x14ac:dyDescent="0.3"/>
  <cols>
    <col min="3" max="3" width="16.77734375" bestFit="1" customWidth="1"/>
    <col min="7" max="9" width="9.5546875" bestFit="1" customWidth="1"/>
    <col min="10" max="11" width="10.5546875" bestFit="1" customWidth="1"/>
    <col min="12" max="14" width="9.5546875" bestFit="1" customWidth="1"/>
    <col min="15" max="17" width="10.5546875" bestFit="1" customWidth="1"/>
    <col min="18" max="18" width="9.5546875" bestFit="1" customWidth="1"/>
    <col min="19" max="19" width="11.5546875" bestFit="1" customWidth="1"/>
    <col min="20" max="22" width="10.5546875" bestFit="1" customWidth="1"/>
    <col min="23" max="23" width="9.5546875" bestFit="1" customWidth="1"/>
    <col min="24" max="24" width="11.5546875" bestFit="1" customWidth="1"/>
    <col min="25" max="27" width="9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</row>
    <row r="2" spans="1:27" x14ac:dyDescent="0.3">
      <c r="A2">
        <v>330695</v>
      </c>
      <c r="B2" t="s">
        <v>50</v>
      </c>
      <c r="C2" t="s">
        <v>610</v>
      </c>
      <c r="G2" s="1">
        <f>IFERROR(AVERAGEIF('Full Player List'!$C$2:$C$1737, $C2, 'Full Player List'!S$2:S$1737),0)</f>
        <v>0</v>
      </c>
      <c r="H2" s="1">
        <f>IFERROR(AVERAGEIF('Full Player List'!$C$2:$C$1737, $C2, 'Full Player List'!T$2:T$1737),0)</f>
        <v>0</v>
      </c>
      <c r="I2" s="1">
        <f>IFERROR(AVERAGEIF('Full Player List'!$C$2:$C$1737, $C2, 'Full Player List'!U$2:U$1737),0)</f>
        <v>0</v>
      </c>
      <c r="J2" s="1">
        <f>IFERROR(AVERAGEIF('Full Player List'!$C$2:$C$1737, $C2, 'Full Player List'!V$2:V$1737),0)</f>
        <v>1.6666666666666667</v>
      </c>
      <c r="K2" s="1">
        <f>IFERROR(AVERAGEIF('Full Player List'!$C$2:$C$1737, $C2, 'Full Player List'!W$2:W$1737),0)</f>
        <v>2</v>
      </c>
      <c r="L2" s="1">
        <f>IFERROR(AVERAGEIF('Full Player List'!$C$2:$C$1737, $C2, 'Full Player List'!X$2:X$1737),0)</f>
        <v>0.33333333333333331</v>
      </c>
      <c r="M2" s="1">
        <f>IFERROR(AVERAGEIF('Full Player List'!$C$2:$C$1737, $C2, 'Full Player List'!Y$2:Y$1737),0)</f>
        <v>3</v>
      </c>
      <c r="N2" s="1">
        <f>IFERROR(AVERAGEIF('Full Player List'!$C$2:$C$1737, $C2, 'Full Player List'!Z$2:Z$1737),0)</f>
        <v>0</v>
      </c>
      <c r="O2" s="1">
        <f>IFERROR(AVERAGEIF('Full Player List'!$C$2:$C$1737, $C2, 'Full Player List'!AA$2:AA$1737),0)</f>
        <v>0</v>
      </c>
      <c r="P2" s="1">
        <f>IFERROR(AVERAGEIF('Full Player List'!$C$2:$C$1737, $C2, 'Full Player List'!AB$2:AB$1737),0)</f>
        <v>0</v>
      </c>
      <c r="Q2" s="1">
        <f>IFERROR(AVERAGEIF('Full Player List'!$C$2:$C$1737, $C2, 'Full Player List'!AC$2:AC$1737),0)</f>
        <v>0</v>
      </c>
      <c r="R2" s="1">
        <f>IFERROR(AVERAGEIF('Full Player List'!$C$2:$C$1737, $C2, 'Full Player List'!AD$2:AD$1737),0)</f>
        <v>0</v>
      </c>
      <c r="S2" s="1">
        <f>IFERROR(AVERAGEIF('Full Player List'!$C$2:$C$1737, $C2, 'Full Player List'!AE$2:AE$1737),0)</f>
        <v>0</v>
      </c>
      <c r="T2" s="1">
        <f>IFERROR(AVERAGEIF('Full Player List'!$C$2:$C$1737, $C2, 'Full Player List'!AF$2:AF$1737),0)</f>
        <v>0</v>
      </c>
      <c r="U2" s="1">
        <f>IFERROR(AVERAGEIF('Full Player List'!$C$2:$C$1737, $C2, 'Full Player List'!AG$2:AG$1737),0)</f>
        <v>0</v>
      </c>
      <c r="V2" s="1">
        <f>IFERROR(AVERAGEIF('Full Player List'!$C$2:$C$1737, $C2, 'Full Player List'!AH$2:AH$1737),0)</f>
        <v>0</v>
      </c>
      <c r="W2" s="1">
        <f>IFERROR(AVERAGEIF('Full Player List'!$C$2:$C$1737, $C2, 'Full Player List'!AI$2:AI$1737),0)</f>
        <v>0</v>
      </c>
      <c r="X2" s="1">
        <f>IFERROR(AVERAGEIF('Full Player List'!$C$2:$C$1737, $C2, 'Full Player List'!AJ$2:AJ$1737),0)</f>
        <v>0</v>
      </c>
      <c r="Y2" s="1">
        <f>IFERROR(AVERAGEIF('Full Player List'!$C$2:$C$1737, $C2, 'Full Player List'!AK$2:AK$1737),0)</f>
        <v>0</v>
      </c>
      <c r="Z2" s="1">
        <f>IFERROR(AVERAGEIF('Full Player List'!$C$2:$C$1737, $C2, 'Full Player List'!AL$2:AL$1737),0)</f>
        <v>0</v>
      </c>
      <c r="AA2" s="1">
        <f>IFERROR(AVERAGEIF('Full Player List'!$C$2:$C$1737, $C2, 'Full Player List'!AM$2:AM$1737),0)</f>
        <v>0</v>
      </c>
    </row>
    <row r="3" spans="1:27" x14ac:dyDescent="0.3">
      <c r="A3">
        <v>338968</v>
      </c>
      <c r="B3" t="s">
        <v>50</v>
      </c>
      <c r="C3" t="s">
        <v>638</v>
      </c>
      <c r="G3" s="1">
        <f>IFERROR(AVERAGEIF('Full Player List'!$C$2:$C$1737, $C3, 'Full Player List'!S$2:S$1737),0)</f>
        <v>0</v>
      </c>
      <c r="H3" s="1">
        <f>IFERROR(AVERAGEIF('Full Player List'!$C$2:$C$1737, $C3, 'Full Player List'!T$2:T$1737),0)</f>
        <v>0</v>
      </c>
      <c r="I3" s="1">
        <f>IFERROR(AVERAGEIF('Full Player List'!$C$2:$C$1737, $C3, 'Full Player List'!U$2:U$1737),0)</f>
        <v>0</v>
      </c>
      <c r="J3" s="1">
        <f>IFERROR(AVERAGEIF('Full Player List'!$C$2:$C$1737, $C3, 'Full Player List'!V$2:V$1737),0)</f>
        <v>5</v>
      </c>
      <c r="K3" s="1">
        <f>IFERROR(AVERAGEIF('Full Player List'!$C$2:$C$1737, $C3, 'Full Player List'!W$2:W$1737),0)</f>
        <v>6</v>
      </c>
      <c r="L3" s="1">
        <f>IFERROR(AVERAGEIF('Full Player List'!$C$2:$C$1737, $C3, 'Full Player List'!X$2:X$1737),0)</f>
        <v>0</v>
      </c>
      <c r="M3" s="1">
        <f>IFERROR(AVERAGEIF('Full Player List'!$C$2:$C$1737, $C3, 'Full Player List'!Y$2:Y$1737),0)</f>
        <v>1.6666666666666667</v>
      </c>
      <c r="N3" s="1">
        <f>IFERROR(AVERAGEIF('Full Player List'!$C$2:$C$1737, $C3, 'Full Player List'!Z$2:Z$1737),0)</f>
        <v>0</v>
      </c>
      <c r="O3" s="1">
        <f>IFERROR(AVERAGEIF('Full Player List'!$C$2:$C$1737, $C3, 'Full Player List'!AA$2:AA$1737),0)</f>
        <v>0</v>
      </c>
      <c r="P3" s="1">
        <f>IFERROR(AVERAGEIF('Full Player List'!$C$2:$C$1737, $C3, 'Full Player List'!AB$2:AB$1737),0)</f>
        <v>0</v>
      </c>
      <c r="Q3" s="1">
        <f>IFERROR(AVERAGEIF('Full Player List'!$C$2:$C$1737, $C3, 'Full Player List'!AC$2:AC$1737),0)</f>
        <v>0</v>
      </c>
      <c r="R3" s="1">
        <f>IFERROR(AVERAGEIF('Full Player List'!$C$2:$C$1737, $C3, 'Full Player List'!AD$2:AD$1737),0)</f>
        <v>0</v>
      </c>
      <c r="S3" s="1">
        <f>IFERROR(AVERAGEIF('Full Player List'!$C$2:$C$1737, $C3, 'Full Player List'!AE$2:AE$1737),0)</f>
        <v>0</v>
      </c>
      <c r="T3" s="1">
        <f>IFERROR(AVERAGEIF('Full Player List'!$C$2:$C$1737, $C3, 'Full Player List'!AF$2:AF$1737),0)</f>
        <v>0</v>
      </c>
      <c r="U3" s="1">
        <f>IFERROR(AVERAGEIF('Full Player List'!$C$2:$C$1737, $C3, 'Full Player List'!AG$2:AG$1737),0)</f>
        <v>0</v>
      </c>
      <c r="V3" s="1">
        <f>IFERROR(AVERAGEIF('Full Player List'!$C$2:$C$1737, $C3, 'Full Player List'!AH$2:AH$1737),0)</f>
        <v>0</v>
      </c>
      <c r="W3" s="1">
        <f>IFERROR(AVERAGEIF('Full Player List'!$C$2:$C$1737, $C3, 'Full Player List'!AI$2:AI$1737),0)</f>
        <v>0</v>
      </c>
      <c r="X3" s="1">
        <f>IFERROR(AVERAGEIF('Full Player List'!$C$2:$C$1737, $C3, 'Full Player List'!AJ$2:AJ$1737),0)</f>
        <v>0</v>
      </c>
      <c r="Y3" s="1">
        <f>IFERROR(AVERAGEIF('Full Player List'!$C$2:$C$1737, $C3, 'Full Player List'!AK$2:AK$1737),0)</f>
        <v>0</v>
      </c>
      <c r="Z3" s="1">
        <f>IFERROR(AVERAGEIF('Full Player List'!$C$2:$C$1737, $C3, 'Full Player List'!AL$2:AL$1737),0)</f>
        <v>0</v>
      </c>
      <c r="AA3" s="1">
        <f>IFERROR(AVERAGEIF('Full Player List'!$C$2:$C$1737, $C3, 'Full Player List'!AM$2:AM$1737),0)</f>
        <v>0</v>
      </c>
    </row>
    <row r="4" spans="1:27" x14ac:dyDescent="0.3">
      <c r="A4">
        <v>348680</v>
      </c>
      <c r="B4" t="s">
        <v>50</v>
      </c>
      <c r="C4" t="s">
        <v>666</v>
      </c>
      <c r="G4" s="1">
        <f>IFERROR(AVERAGEIF('Full Player List'!$C$2:$C$1737, $C4, 'Full Player List'!S$2:S$1737),0)</f>
        <v>5.4</v>
      </c>
      <c r="H4" s="1">
        <f>IFERROR(AVERAGEIF('Full Player List'!$C$2:$C$1737, $C4, 'Full Player List'!T$2:T$1737),0)</f>
        <v>0.6</v>
      </c>
      <c r="I4" s="1">
        <f>IFERROR(AVERAGEIF('Full Player List'!$C$2:$C$1737, $C4, 'Full Player List'!U$2:U$1737),0)</f>
        <v>0.2</v>
      </c>
      <c r="J4" s="1">
        <f>IFERROR(AVERAGEIF('Full Player List'!$C$2:$C$1737, $C4, 'Full Player List'!V$2:V$1737),0)</f>
        <v>23.2</v>
      </c>
      <c r="K4" s="1">
        <f>IFERROR(AVERAGEIF('Full Player List'!$C$2:$C$1737, $C4, 'Full Player List'!W$2:W$1737),0)</f>
        <v>31.6</v>
      </c>
      <c r="L4" s="1">
        <f>IFERROR(AVERAGEIF('Full Player List'!$C$2:$C$1737, $C4, 'Full Player List'!X$2:X$1737),0)</f>
        <v>0.5</v>
      </c>
      <c r="M4" s="1">
        <f>IFERROR(AVERAGEIF('Full Player List'!$C$2:$C$1737, $C4, 'Full Player List'!Y$2:Y$1737),0)</f>
        <v>2</v>
      </c>
      <c r="N4" s="1">
        <f>IFERROR(AVERAGEIF('Full Player List'!$C$2:$C$1737, $C4, 'Full Player List'!Z$2:Z$1737),0)</f>
        <v>0</v>
      </c>
      <c r="O4" s="1">
        <f>IFERROR(AVERAGEIF('Full Player List'!$C$2:$C$1737, $C4, 'Full Player List'!AA$2:AA$1737),0)</f>
        <v>0</v>
      </c>
      <c r="P4" s="1">
        <f>IFERROR(AVERAGEIF('Full Player List'!$C$2:$C$1737, $C4, 'Full Player List'!AB$2:AB$1737),0)</f>
        <v>0</v>
      </c>
      <c r="Q4" s="1">
        <f>IFERROR(AVERAGEIF('Full Player List'!$C$2:$C$1737, $C4, 'Full Player List'!AC$2:AC$1737),0)</f>
        <v>0</v>
      </c>
      <c r="R4" s="1">
        <f>IFERROR(AVERAGEIF('Full Player List'!$C$2:$C$1737, $C4, 'Full Player List'!AD$2:AD$1737),0)</f>
        <v>0</v>
      </c>
      <c r="S4" s="1">
        <f>IFERROR(AVERAGEIF('Full Player List'!$C$2:$C$1737, $C4, 'Full Player List'!AE$2:AE$1737),0)</f>
        <v>0</v>
      </c>
      <c r="T4" s="1">
        <f>IFERROR(AVERAGEIF('Full Player List'!$C$2:$C$1737, $C4, 'Full Player List'!AF$2:AF$1737),0)</f>
        <v>0</v>
      </c>
      <c r="U4" s="1">
        <f>IFERROR(AVERAGEIF('Full Player List'!$C$2:$C$1737, $C4, 'Full Player List'!AG$2:AG$1737),0)</f>
        <v>0</v>
      </c>
      <c r="V4" s="1">
        <f>IFERROR(AVERAGEIF('Full Player List'!$C$2:$C$1737, $C4, 'Full Player List'!AH$2:AH$1737),0)</f>
        <v>0</v>
      </c>
      <c r="W4" s="1">
        <f>IFERROR(AVERAGEIF('Full Player List'!$C$2:$C$1737, $C4, 'Full Player List'!AI$2:AI$1737),0)</f>
        <v>0</v>
      </c>
      <c r="X4" s="1">
        <f>IFERROR(AVERAGEIF('Full Player List'!$C$2:$C$1737, $C4, 'Full Player List'!AJ$2:AJ$1737),0)</f>
        <v>0</v>
      </c>
      <c r="Y4" s="1">
        <f>IFERROR(AVERAGEIF('Full Player List'!$C$2:$C$1737, $C4, 'Full Player List'!AK$2:AK$1737),0)</f>
        <v>0</v>
      </c>
      <c r="Z4" s="1">
        <f>IFERROR(AVERAGEIF('Full Player List'!$C$2:$C$1737, $C4, 'Full Player List'!AL$2:AL$1737),0)</f>
        <v>0</v>
      </c>
      <c r="AA4" s="1">
        <f>IFERROR(AVERAGEIF('Full Player List'!$C$2:$C$1737, $C4, 'Full Player List'!AM$2:AM$1737),0)</f>
        <v>0</v>
      </c>
    </row>
    <row r="5" spans="1:27" x14ac:dyDescent="0.3">
      <c r="A5">
        <v>350438</v>
      </c>
      <c r="B5" t="s">
        <v>50</v>
      </c>
      <c r="C5" t="s">
        <v>709</v>
      </c>
      <c r="G5" s="1">
        <f>IFERROR(AVERAGEIF('Full Player List'!$C$2:$C$1737, $C5, 'Full Player List'!S$2:S$1737),0)</f>
        <v>2.75</v>
      </c>
      <c r="H5" s="1">
        <f>IFERROR(AVERAGEIF('Full Player List'!$C$2:$C$1737, $C5, 'Full Player List'!T$2:T$1737),0)</f>
        <v>0</v>
      </c>
      <c r="I5" s="1">
        <f>IFERROR(AVERAGEIF('Full Player List'!$C$2:$C$1737, $C5, 'Full Player List'!U$2:U$1737),0)</f>
        <v>0</v>
      </c>
      <c r="J5" s="1">
        <f>IFERROR(AVERAGEIF('Full Player List'!$C$2:$C$1737, $C5, 'Full Player List'!V$2:V$1737),0)</f>
        <v>18.75</v>
      </c>
      <c r="K5" s="1">
        <f>IFERROR(AVERAGEIF('Full Player List'!$C$2:$C$1737, $C5, 'Full Player List'!W$2:W$1737),0)</f>
        <v>30.25</v>
      </c>
      <c r="L5" s="1">
        <f>IFERROR(AVERAGEIF('Full Player List'!$C$2:$C$1737, $C5, 'Full Player List'!X$2:X$1737),0)</f>
        <v>0.875</v>
      </c>
      <c r="M5" s="1">
        <f>IFERROR(AVERAGEIF('Full Player List'!$C$2:$C$1737, $C5, 'Full Player List'!Y$2:Y$1737),0)</f>
        <v>1</v>
      </c>
      <c r="N5" s="1">
        <f>IFERROR(AVERAGEIF('Full Player List'!$C$2:$C$1737, $C5, 'Full Player List'!Z$2:Z$1737),0)</f>
        <v>0</v>
      </c>
      <c r="O5" s="1">
        <f>IFERROR(AVERAGEIF('Full Player List'!$C$2:$C$1737, $C5, 'Full Player List'!AA$2:AA$1737),0)</f>
        <v>0</v>
      </c>
      <c r="P5" s="1">
        <f>IFERROR(AVERAGEIF('Full Player List'!$C$2:$C$1737, $C5, 'Full Player List'!AB$2:AB$1737),0)</f>
        <v>0</v>
      </c>
      <c r="Q5" s="1">
        <f>IFERROR(AVERAGEIF('Full Player List'!$C$2:$C$1737, $C5, 'Full Player List'!AC$2:AC$1737),0)</f>
        <v>0</v>
      </c>
      <c r="R5" s="1">
        <f>IFERROR(AVERAGEIF('Full Player List'!$C$2:$C$1737, $C5, 'Full Player List'!AD$2:AD$1737),0)</f>
        <v>0</v>
      </c>
      <c r="S5" s="1">
        <f>IFERROR(AVERAGEIF('Full Player List'!$C$2:$C$1737, $C5, 'Full Player List'!AE$2:AE$1737),0)</f>
        <v>0</v>
      </c>
      <c r="T5" s="1">
        <f>IFERROR(AVERAGEIF('Full Player List'!$C$2:$C$1737, $C5, 'Full Player List'!AF$2:AF$1737),0)</f>
        <v>0</v>
      </c>
      <c r="U5" s="1">
        <f>IFERROR(AVERAGEIF('Full Player List'!$C$2:$C$1737, $C5, 'Full Player List'!AG$2:AG$1737),0)</f>
        <v>0</v>
      </c>
      <c r="V5" s="1">
        <f>IFERROR(AVERAGEIF('Full Player List'!$C$2:$C$1737, $C5, 'Full Player List'!AH$2:AH$1737),0)</f>
        <v>0</v>
      </c>
      <c r="W5" s="1">
        <f>IFERROR(AVERAGEIF('Full Player List'!$C$2:$C$1737, $C5, 'Full Player List'!AI$2:AI$1737),0)</f>
        <v>0</v>
      </c>
      <c r="X5" s="1">
        <f>IFERROR(AVERAGEIF('Full Player List'!$C$2:$C$1737, $C5, 'Full Player List'!AJ$2:AJ$1737),0)</f>
        <v>0</v>
      </c>
      <c r="Y5" s="1">
        <f>IFERROR(AVERAGEIF('Full Player List'!$C$2:$C$1737, $C5, 'Full Player List'!AK$2:AK$1737),0)</f>
        <v>0</v>
      </c>
      <c r="Z5" s="1">
        <f>IFERROR(AVERAGEIF('Full Player List'!$C$2:$C$1737, $C5, 'Full Player List'!AL$2:AL$1737),0)</f>
        <v>0</v>
      </c>
      <c r="AA5" s="1">
        <f>IFERROR(AVERAGEIF('Full Player List'!$C$2:$C$1737, $C5, 'Full Player List'!AM$2:AM$1737),0)</f>
        <v>0</v>
      </c>
    </row>
    <row r="6" spans="1:27" x14ac:dyDescent="0.3">
      <c r="A6">
        <v>350669</v>
      </c>
      <c r="B6" t="s">
        <v>50</v>
      </c>
      <c r="C6" t="s">
        <v>715</v>
      </c>
      <c r="G6" s="1">
        <f>IFERROR(AVERAGEIF('Full Player List'!$C$2:$C$1737, $C6, 'Full Player List'!S$2:S$1737),0)</f>
        <v>4.2</v>
      </c>
      <c r="H6" s="1">
        <f>IFERROR(AVERAGEIF('Full Player List'!$C$2:$C$1737, $C6, 'Full Player List'!T$2:T$1737),0)</f>
        <v>0.4</v>
      </c>
      <c r="I6" s="1">
        <f>IFERROR(AVERAGEIF('Full Player List'!$C$2:$C$1737, $C6, 'Full Player List'!U$2:U$1737),0)</f>
        <v>0.2</v>
      </c>
      <c r="J6" s="1">
        <f>IFERROR(AVERAGEIF('Full Player List'!$C$2:$C$1737, $C6, 'Full Player List'!V$2:V$1737),0)</f>
        <v>25.2</v>
      </c>
      <c r="K6" s="1">
        <f>IFERROR(AVERAGEIF('Full Player List'!$C$2:$C$1737, $C6, 'Full Player List'!W$2:W$1737),0)</f>
        <v>36</v>
      </c>
      <c r="L6" s="1">
        <f>IFERROR(AVERAGEIF('Full Player List'!$C$2:$C$1737, $C6, 'Full Player List'!X$2:X$1737),0)</f>
        <v>1.7</v>
      </c>
      <c r="M6" s="1">
        <f>IFERROR(AVERAGEIF('Full Player List'!$C$2:$C$1737, $C6, 'Full Player List'!Y$2:Y$1737),0)</f>
        <v>2.75</v>
      </c>
      <c r="N6" s="1">
        <f>IFERROR(AVERAGEIF('Full Player List'!$C$2:$C$1737, $C6, 'Full Player List'!Z$2:Z$1737),0)</f>
        <v>0.2</v>
      </c>
      <c r="O6" s="1">
        <f>IFERROR(AVERAGEIF('Full Player List'!$C$2:$C$1737, $C6, 'Full Player List'!AA$2:AA$1737),0)</f>
        <v>0</v>
      </c>
      <c r="P6" s="1">
        <f>IFERROR(AVERAGEIF('Full Player List'!$C$2:$C$1737, $C6, 'Full Player List'!AB$2:AB$1737),0)</f>
        <v>0</v>
      </c>
      <c r="Q6" s="1">
        <f>IFERROR(AVERAGEIF('Full Player List'!$C$2:$C$1737, $C6, 'Full Player List'!AC$2:AC$1737),0)</f>
        <v>0</v>
      </c>
      <c r="R6" s="1">
        <f>IFERROR(AVERAGEIF('Full Player List'!$C$2:$C$1737, $C6, 'Full Player List'!AD$2:AD$1737),0)</f>
        <v>0</v>
      </c>
      <c r="S6" s="1">
        <f>IFERROR(AVERAGEIF('Full Player List'!$C$2:$C$1737, $C6, 'Full Player List'!AE$2:AE$1737),0)</f>
        <v>0</v>
      </c>
      <c r="T6" s="1">
        <f>IFERROR(AVERAGEIF('Full Player List'!$C$2:$C$1737, $C6, 'Full Player List'!AF$2:AF$1737),0)</f>
        <v>0</v>
      </c>
      <c r="U6" s="1">
        <f>IFERROR(AVERAGEIF('Full Player List'!$C$2:$C$1737, $C6, 'Full Player List'!AG$2:AG$1737),0)</f>
        <v>0</v>
      </c>
      <c r="V6" s="1">
        <f>IFERROR(AVERAGEIF('Full Player List'!$C$2:$C$1737, $C6, 'Full Player List'!AH$2:AH$1737),0)</f>
        <v>0</v>
      </c>
      <c r="W6" s="1">
        <f>IFERROR(AVERAGEIF('Full Player List'!$C$2:$C$1737, $C6, 'Full Player List'!AI$2:AI$1737),0)</f>
        <v>0</v>
      </c>
      <c r="X6" s="1">
        <f>IFERROR(AVERAGEIF('Full Player List'!$C$2:$C$1737, $C6, 'Full Player List'!AJ$2:AJ$1737),0)</f>
        <v>0</v>
      </c>
      <c r="Y6" s="1">
        <f>IFERROR(AVERAGEIF('Full Player List'!$C$2:$C$1737, $C6, 'Full Player List'!AK$2:AK$1737),0)</f>
        <v>0</v>
      </c>
      <c r="Z6" s="1">
        <f>IFERROR(AVERAGEIF('Full Player List'!$C$2:$C$1737, $C6, 'Full Player List'!AL$2:AL$1737),0)</f>
        <v>0</v>
      </c>
      <c r="AA6" s="1">
        <f>IFERROR(AVERAGEIF('Full Player List'!$C$2:$C$1737, $C6, 'Full Player List'!AM$2:AM$1737),0)</f>
        <v>0</v>
      </c>
    </row>
    <row r="7" spans="1:27" x14ac:dyDescent="0.3">
      <c r="A7">
        <v>350805</v>
      </c>
      <c r="B7" t="s">
        <v>50</v>
      </c>
      <c r="C7" t="s">
        <v>723</v>
      </c>
      <c r="G7" s="1">
        <f>IFERROR(AVERAGEIF('Full Player List'!$C$2:$C$1737, $C7, 'Full Player List'!S$2:S$1737),0)</f>
        <v>4</v>
      </c>
      <c r="H7" s="1">
        <f>IFERROR(AVERAGEIF('Full Player List'!$C$2:$C$1737, $C7, 'Full Player List'!T$2:T$1737),0)</f>
        <v>0.2</v>
      </c>
      <c r="I7" s="1">
        <f>IFERROR(AVERAGEIF('Full Player List'!$C$2:$C$1737, $C7, 'Full Player List'!U$2:U$1737),0)</f>
        <v>0</v>
      </c>
      <c r="J7" s="1">
        <f>IFERROR(AVERAGEIF('Full Player List'!$C$2:$C$1737, $C7, 'Full Player List'!V$2:V$1737),0)</f>
        <v>26.6</v>
      </c>
      <c r="K7" s="1">
        <f>IFERROR(AVERAGEIF('Full Player List'!$C$2:$C$1737, $C7, 'Full Player List'!W$2:W$1737),0)</f>
        <v>40</v>
      </c>
      <c r="L7" s="1">
        <f>IFERROR(AVERAGEIF('Full Player List'!$C$2:$C$1737, $C7, 'Full Player List'!X$2:X$1737),0)</f>
        <v>1</v>
      </c>
      <c r="M7" s="1">
        <f>IFERROR(AVERAGEIF('Full Player List'!$C$2:$C$1737, $C7, 'Full Player List'!Y$2:Y$1737),0)</f>
        <v>2.8</v>
      </c>
      <c r="N7" s="1">
        <f>IFERROR(AVERAGEIF('Full Player List'!$C$2:$C$1737, $C7, 'Full Player List'!Z$2:Z$1737),0)</f>
        <v>0.4</v>
      </c>
      <c r="O7" s="1">
        <f>IFERROR(AVERAGEIF('Full Player List'!$C$2:$C$1737, $C7, 'Full Player List'!AA$2:AA$1737),0)</f>
        <v>21.966666666666669</v>
      </c>
      <c r="P7" s="1">
        <f>IFERROR(AVERAGEIF('Full Player List'!$C$2:$C$1737, $C7, 'Full Player List'!AB$2:AB$1737),0)</f>
        <v>46</v>
      </c>
      <c r="Q7" s="1">
        <f>IFERROR(AVERAGEIF('Full Player List'!$C$2:$C$1737, $C7, 'Full Player List'!AC$2:AC$1737),0)</f>
        <v>8.6666666666666661</v>
      </c>
      <c r="R7" s="1">
        <f>IFERROR(AVERAGEIF('Full Player List'!$C$2:$C$1737, $C7, 'Full Player List'!AD$2:AD$1737),0)</f>
        <v>0.33333333333333331</v>
      </c>
      <c r="S7" s="1">
        <f>IFERROR(AVERAGEIF('Full Player List'!$C$2:$C$1737, $C7, 'Full Player List'!AE$2:AE$1737),0)</f>
        <v>197</v>
      </c>
      <c r="T7" s="1">
        <f>IFERROR(AVERAGEIF('Full Player List'!$C$2:$C$1737, $C7, 'Full Player List'!AF$2:AF$1737),0)</f>
        <v>4.2</v>
      </c>
      <c r="U7" s="1">
        <f>IFERROR(AVERAGEIF('Full Player List'!$C$2:$C$1737, $C7, 'Full Player List'!AG$2:AG$1737),0)</f>
        <v>12.666666666666666</v>
      </c>
      <c r="V7" s="1">
        <f>IFERROR(AVERAGEIF('Full Player List'!$C$2:$C$1737, $C7, 'Full Player List'!AH$2:AH$1737),0)</f>
        <v>4.333333333333333</v>
      </c>
      <c r="W7" s="1">
        <f>IFERROR(AVERAGEIF('Full Player List'!$C$2:$C$1737, $C7, 'Full Player List'!AI$2:AI$1737),0)</f>
        <v>0</v>
      </c>
      <c r="X7" s="1">
        <f>IFERROR(AVERAGEIF('Full Player List'!$C$2:$C$1737, $C7, 'Full Player List'!AJ$2:AJ$1737),0)</f>
        <v>24</v>
      </c>
      <c r="Y7" s="1">
        <f>IFERROR(AVERAGEIF('Full Player List'!$C$2:$C$1737, $C7, 'Full Player List'!AK$2:AK$1737),0)</f>
        <v>0.6</v>
      </c>
      <c r="Z7" s="1">
        <f>IFERROR(AVERAGEIF('Full Player List'!$C$2:$C$1737, $C7, 'Full Player List'!AL$2:AL$1737),0)</f>
        <v>0.6</v>
      </c>
      <c r="AA7" s="1">
        <f>IFERROR(AVERAGEIF('Full Player List'!$C$2:$C$1737, $C7, 'Full Player List'!AM$2:AM$1737),0)</f>
        <v>0</v>
      </c>
    </row>
    <row r="8" spans="1:27" x14ac:dyDescent="0.3">
      <c r="A8">
        <v>351359</v>
      </c>
      <c r="B8" t="s">
        <v>50</v>
      </c>
      <c r="C8" t="s">
        <v>732</v>
      </c>
      <c r="G8" s="1">
        <f>IFERROR(AVERAGEIF('Full Player List'!$C$2:$C$1737, $C8, 'Full Player List'!S$2:S$1737),0)</f>
        <v>8</v>
      </c>
      <c r="H8" s="1">
        <f>IFERROR(AVERAGEIF('Full Player List'!$C$2:$C$1737, $C8, 'Full Player List'!T$2:T$1737),0)</f>
        <v>0</v>
      </c>
      <c r="I8" s="1">
        <f>IFERROR(AVERAGEIF('Full Player List'!$C$2:$C$1737, $C8, 'Full Player List'!U$2:U$1737),0)</f>
        <v>0.5</v>
      </c>
      <c r="J8" s="1">
        <f>IFERROR(AVERAGEIF('Full Player List'!$C$2:$C$1737, $C8, 'Full Player List'!V$2:V$1737),0)</f>
        <v>25.25</v>
      </c>
      <c r="K8" s="1">
        <f>IFERROR(AVERAGEIF('Full Player List'!$C$2:$C$1737, $C8, 'Full Player List'!W$2:W$1737),0)</f>
        <v>37</v>
      </c>
      <c r="L8" s="1">
        <f>IFERROR(AVERAGEIF('Full Player List'!$C$2:$C$1737, $C8, 'Full Player List'!X$2:X$1737),0)</f>
        <v>1.125</v>
      </c>
      <c r="M8" s="1">
        <f>IFERROR(AVERAGEIF('Full Player List'!$C$2:$C$1737, $C8, 'Full Player List'!Y$2:Y$1737),0)</f>
        <v>1.6666666666666667</v>
      </c>
      <c r="N8" s="1">
        <f>IFERROR(AVERAGEIF('Full Player List'!$C$2:$C$1737, $C8, 'Full Player List'!Z$2:Z$1737),0)</f>
        <v>0</v>
      </c>
      <c r="O8" s="1">
        <f>IFERROR(AVERAGEIF('Full Player List'!$C$2:$C$1737, $C8, 'Full Player List'!AA$2:AA$1737),0)</f>
        <v>0</v>
      </c>
      <c r="P8" s="1">
        <f>IFERROR(AVERAGEIF('Full Player List'!$C$2:$C$1737, $C8, 'Full Player List'!AB$2:AB$1737),0)</f>
        <v>0</v>
      </c>
      <c r="Q8" s="1">
        <f>IFERROR(AVERAGEIF('Full Player List'!$C$2:$C$1737, $C8, 'Full Player List'!AC$2:AC$1737),0)</f>
        <v>0</v>
      </c>
      <c r="R8" s="1">
        <f>IFERROR(AVERAGEIF('Full Player List'!$C$2:$C$1737, $C8, 'Full Player List'!AD$2:AD$1737),0)</f>
        <v>0</v>
      </c>
      <c r="S8" s="1">
        <f>IFERROR(AVERAGEIF('Full Player List'!$C$2:$C$1737, $C8, 'Full Player List'!AE$2:AE$1737),0)</f>
        <v>0</v>
      </c>
      <c r="T8" s="1">
        <f>IFERROR(AVERAGEIF('Full Player List'!$C$2:$C$1737, $C8, 'Full Player List'!AF$2:AF$1737),0)</f>
        <v>0</v>
      </c>
      <c r="U8" s="1">
        <f>IFERROR(AVERAGEIF('Full Player List'!$C$2:$C$1737, $C8, 'Full Player List'!AG$2:AG$1737),0)</f>
        <v>0</v>
      </c>
      <c r="V8" s="1">
        <f>IFERROR(AVERAGEIF('Full Player List'!$C$2:$C$1737, $C8, 'Full Player List'!AH$2:AH$1737),0)</f>
        <v>0</v>
      </c>
      <c r="W8" s="1">
        <f>IFERROR(AVERAGEIF('Full Player List'!$C$2:$C$1737, $C8, 'Full Player List'!AI$2:AI$1737),0)</f>
        <v>0</v>
      </c>
      <c r="X8" s="1">
        <f>IFERROR(AVERAGEIF('Full Player List'!$C$2:$C$1737, $C8, 'Full Player List'!AJ$2:AJ$1737),0)</f>
        <v>0</v>
      </c>
      <c r="Y8" s="1">
        <f>IFERROR(AVERAGEIF('Full Player List'!$C$2:$C$1737, $C8, 'Full Player List'!AK$2:AK$1737),0)</f>
        <v>0</v>
      </c>
      <c r="Z8" s="1">
        <f>IFERROR(AVERAGEIF('Full Player List'!$C$2:$C$1737, $C8, 'Full Player List'!AL$2:AL$1737),0)</f>
        <v>0</v>
      </c>
      <c r="AA8" s="1">
        <f>IFERROR(AVERAGEIF('Full Player List'!$C$2:$C$1737, $C8, 'Full Player List'!AM$2:AM$1737),0)</f>
        <v>0</v>
      </c>
    </row>
    <row r="9" spans="1:27" x14ac:dyDescent="0.3">
      <c r="A9">
        <v>351603</v>
      </c>
      <c r="B9" t="s">
        <v>50</v>
      </c>
      <c r="C9" t="s">
        <v>733</v>
      </c>
      <c r="G9" s="1">
        <f>IFERROR(AVERAGEIF('Full Player List'!$C$2:$C$1737, $C9, 'Full Player List'!S$2:S$1737),0)</f>
        <v>2</v>
      </c>
      <c r="H9" s="1">
        <f>IFERROR(AVERAGEIF('Full Player List'!$C$2:$C$1737, $C9, 'Full Player List'!T$2:T$1737),0)</f>
        <v>0</v>
      </c>
      <c r="I9" s="1">
        <f>IFERROR(AVERAGEIF('Full Player List'!$C$2:$C$1737, $C9, 'Full Player List'!U$2:U$1737),0)</f>
        <v>0</v>
      </c>
      <c r="J9" s="1">
        <f>IFERROR(AVERAGEIF('Full Player List'!$C$2:$C$1737, $C9, 'Full Player List'!V$2:V$1737),0)</f>
        <v>17.2</v>
      </c>
      <c r="K9" s="1">
        <f>IFERROR(AVERAGEIF('Full Player List'!$C$2:$C$1737, $C9, 'Full Player List'!W$2:W$1737),0)</f>
        <v>21</v>
      </c>
      <c r="L9" s="1">
        <f>IFERROR(AVERAGEIF('Full Player List'!$C$2:$C$1737, $C9, 'Full Player List'!X$2:X$1737),0)</f>
        <v>0.6</v>
      </c>
      <c r="M9" s="1">
        <f>IFERROR(AVERAGEIF('Full Player List'!$C$2:$C$1737, $C9, 'Full Player List'!Y$2:Y$1737),0)</f>
        <v>2.3333333333333335</v>
      </c>
      <c r="N9" s="1">
        <f>IFERROR(AVERAGEIF('Full Player List'!$C$2:$C$1737, $C9, 'Full Player List'!Z$2:Z$1737),0)</f>
        <v>0.2</v>
      </c>
      <c r="O9" s="1">
        <f>IFERROR(AVERAGEIF('Full Player List'!$C$2:$C$1737, $C9, 'Full Player List'!AA$2:AA$1737),0)</f>
        <v>0</v>
      </c>
      <c r="P9" s="1">
        <f>IFERROR(AVERAGEIF('Full Player List'!$C$2:$C$1737, $C9, 'Full Player List'!AB$2:AB$1737),0)</f>
        <v>0</v>
      </c>
      <c r="Q9" s="1">
        <f>IFERROR(AVERAGEIF('Full Player List'!$C$2:$C$1737, $C9, 'Full Player List'!AC$2:AC$1737),0)</f>
        <v>0</v>
      </c>
      <c r="R9" s="1">
        <f>IFERROR(AVERAGEIF('Full Player List'!$C$2:$C$1737, $C9, 'Full Player List'!AD$2:AD$1737),0)</f>
        <v>0</v>
      </c>
      <c r="S9" s="1">
        <f>IFERROR(AVERAGEIF('Full Player List'!$C$2:$C$1737, $C9, 'Full Player List'!AE$2:AE$1737),0)</f>
        <v>0</v>
      </c>
      <c r="T9" s="1">
        <f>IFERROR(AVERAGEIF('Full Player List'!$C$2:$C$1737, $C9, 'Full Player List'!AF$2:AF$1737),0)</f>
        <v>0</v>
      </c>
      <c r="U9" s="1">
        <f>IFERROR(AVERAGEIF('Full Player List'!$C$2:$C$1737, $C9, 'Full Player List'!AG$2:AG$1737),0)</f>
        <v>0</v>
      </c>
      <c r="V9" s="1">
        <f>IFERROR(AVERAGEIF('Full Player List'!$C$2:$C$1737, $C9, 'Full Player List'!AH$2:AH$1737),0)</f>
        <v>0</v>
      </c>
      <c r="W9" s="1">
        <f>IFERROR(AVERAGEIF('Full Player List'!$C$2:$C$1737, $C9, 'Full Player List'!AI$2:AI$1737),0)</f>
        <v>0</v>
      </c>
      <c r="X9" s="1">
        <f>IFERROR(AVERAGEIF('Full Player List'!$C$2:$C$1737, $C9, 'Full Player List'!AJ$2:AJ$1737),0)</f>
        <v>0</v>
      </c>
      <c r="Y9" s="1">
        <f>IFERROR(AVERAGEIF('Full Player List'!$C$2:$C$1737, $C9, 'Full Player List'!AK$2:AK$1737),0)</f>
        <v>0</v>
      </c>
      <c r="Z9" s="1">
        <f>IFERROR(AVERAGEIF('Full Player List'!$C$2:$C$1737, $C9, 'Full Player List'!AL$2:AL$1737),0)</f>
        <v>0</v>
      </c>
      <c r="AA9" s="1">
        <f>IFERROR(AVERAGEIF('Full Player List'!$C$2:$C$1737, $C9, 'Full Player List'!AM$2:AM$1737),0)</f>
        <v>0</v>
      </c>
    </row>
    <row r="10" spans="1:27" x14ac:dyDescent="0.3">
      <c r="A10">
        <v>353565</v>
      </c>
      <c r="B10" t="s">
        <v>50</v>
      </c>
      <c r="C10" t="s">
        <v>749</v>
      </c>
      <c r="G10" s="1">
        <f>IFERROR(AVERAGEIF('Full Player List'!$C$2:$C$1737, $C10, 'Full Player List'!S$2:S$1737),0)</f>
        <v>2.5</v>
      </c>
      <c r="H10" s="1">
        <f>IFERROR(AVERAGEIF('Full Player List'!$C$2:$C$1737, $C10, 'Full Player List'!T$2:T$1737),0)</f>
        <v>0.25</v>
      </c>
      <c r="I10" s="1">
        <f>IFERROR(AVERAGEIF('Full Player List'!$C$2:$C$1737, $C10, 'Full Player List'!U$2:U$1737),0)</f>
        <v>0</v>
      </c>
      <c r="J10" s="1">
        <f>IFERROR(AVERAGEIF('Full Player List'!$C$2:$C$1737, $C10, 'Full Player List'!V$2:V$1737),0)</f>
        <v>10.75</v>
      </c>
      <c r="K10" s="1">
        <f>IFERROR(AVERAGEIF('Full Player List'!$C$2:$C$1737, $C10, 'Full Player List'!W$2:W$1737),0)</f>
        <v>17.25</v>
      </c>
      <c r="L10" s="1">
        <f>IFERROR(AVERAGEIF('Full Player List'!$C$2:$C$1737, $C10, 'Full Player List'!X$2:X$1737),0)</f>
        <v>0.875</v>
      </c>
      <c r="M10" s="1">
        <f>IFERROR(AVERAGEIF('Full Player List'!$C$2:$C$1737, $C10, 'Full Player List'!Y$2:Y$1737),0)</f>
        <v>2.3333333333333335</v>
      </c>
      <c r="N10" s="1">
        <f>IFERROR(AVERAGEIF('Full Player List'!$C$2:$C$1737, $C10, 'Full Player List'!Z$2:Z$1737),0)</f>
        <v>0</v>
      </c>
      <c r="O10" s="1">
        <f>IFERROR(AVERAGEIF('Full Player List'!$C$2:$C$1737, $C10, 'Full Player List'!AA$2:AA$1737),0)</f>
        <v>0</v>
      </c>
      <c r="P10" s="1">
        <f>IFERROR(AVERAGEIF('Full Player List'!$C$2:$C$1737, $C10, 'Full Player List'!AB$2:AB$1737),0)</f>
        <v>0</v>
      </c>
      <c r="Q10" s="1">
        <f>IFERROR(AVERAGEIF('Full Player List'!$C$2:$C$1737, $C10, 'Full Player List'!AC$2:AC$1737),0)</f>
        <v>0</v>
      </c>
      <c r="R10" s="1">
        <f>IFERROR(AVERAGEIF('Full Player List'!$C$2:$C$1737, $C10, 'Full Player List'!AD$2:AD$1737),0)</f>
        <v>0</v>
      </c>
      <c r="S10" s="1">
        <f>IFERROR(AVERAGEIF('Full Player List'!$C$2:$C$1737, $C10, 'Full Player List'!AE$2:AE$1737),0)</f>
        <v>0</v>
      </c>
      <c r="T10" s="1">
        <f>IFERROR(AVERAGEIF('Full Player List'!$C$2:$C$1737, $C10, 'Full Player List'!AF$2:AF$1737),0)</f>
        <v>0</v>
      </c>
      <c r="U10" s="1">
        <f>IFERROR(AVERAGEIF('Full Player List'!$C$2:$C$1737, $C10, 'Full Player List'!AG$2:AG$1737),0)</f>
        <v>0</v>
      </c>
      <c r="V10" s="1">
        <f>IFERROR(AVERAGEIF('Full Player List'!$C$2:$C$1737, $C10, 'Full Player List'!AH$2:AH$1737),0)</f>
        <v>0</v>
      </c>
      <c r="W10" s="1">
        <f>IFERROR(AVERAGEIF('Full Player List'!$C$2:$C$1737, $C10, 'Full Player List'!AI$2:AI$1737),0)</f>
        <v>0</v>
      </c>
      <c r="X10" s="1">
        <f>IFERROR(AVERAGEIF('Full Player List'!$C$2:$C$1737, $C10, 'Full Player List'!AJ$2:AJ$1737),0)</f>
        <v>0</v>
      </c>
      <c r="Y10" s="1">
        <f>IFERROR(AVERAGEIF('Full Player List'!$C$2:$C$1737, $C10, 'Full Player List'!AK$2:AK$1737),0)</f>
        <v>0</v>
      </c>
      <c r="Z10" s="1">
        <f>IFERROR(AVERAGEIF('Full Player List'!$C$2:$C$1737, $C10, 'Full Player List'!AL$2:AL$1737),0)</f>
        <v>0</v>
      </c>
      <c r="AA10" s="1">
        <f>IFERROR(AVERAGEIF('Full Player List'!$C$2:$C$1737, $C10, 'Full Player List'!AM$2:AM$1737),0)</f>
        <v>0</v>
      </c>
    </row>
    <row r="11" spans="1:27" x14ac:dyDescent="0.3">
      <c r="A11">
        <v>363400</v>
      </c>
      <c r="B11" t="s">
        <v>50</v>
      </c>
      <c r="C11" t="s">
        <v>802</v>
      </c>
      <c r="G11" s="1">
        <f>IFERROR(AVERAGEIF('Full Player List'!$C$2:$C$1737, $C11, 'Full Player List'!S$2:S$1737),0)</f>
        <v>2.75</v>
      </c>
      <c r="H11" s="1">
        <f>IFERROR(AVERAGEIF('Full Player List'!$C$2:$C$1737, $C11, 'Full Player List'!T$2:T$1737),0)</f>
        <v>0</v>
      </c>
      <c r="I11" s="1">
        <f>IFERROR(AVERAGEIF('Full Player List'!$C$2:$C$1737, $C11, 'Full Player List'!U$2:U$1737),0)</f>
        <v>0</v>
      </c>
      <c r="J11" s="1">
        <f>IFERROR(AVERAGEIF('Full Player List'!$C$2:$C$1737, $C11, 'Full Player List'!V$2:V$1737),0)</f>
        <v>9.75</v>
      </c>
      <c r="K11" s="1">
        <f>IFERROR(AVERAGEIF('Full Player List'!$C$2:$C$1737, $C11, 'Full Player List'!W$2:W$1737),0)</f>
        <v>13.25</v>
      </c>
      <c r="L11" s="1">
        <f>IFERROR(AVERAGEIF('Full Player List'!$C$2:$C$1737, $C11, 'Full Player List'!X$2:X$1737),0)</f>
        <v>0.75</v>
      </c>
      <c r="M11" s="1">
        <f>IFERROR(AVERAGEIF('Full Player List'!$C$2:$C$1737, $C11, 'Full Player List'!Y$2:Y$1737),0)</f>
        <v>2.3333333333333335</v>
      </c>
      <c r="N11" s="1">
        <f>IFERROR(AVERAGEIF('Full Player List'!$C$2:$C$1737, $C11, 'Full Player List'!Z$2:Z$1737),0)</f>
        <v>0</v>
      </c>
      <c r="O11" s="1">
        <f>IFERROR(AVERAGEIF('Full Player List'!$C$2:$C$1737, $C11, 'Full Player List'!AA$2:AA$1737),0)</f>
        <v>0</v>
      </c>
      <c r="P11" s="1">
        <f>IFERROR(AVERAGEIF('Full Player List'!$C$2:$C$1737, $C11, 'Full Player List'!AB$2:AB$1737),0)</f>
        <v>0</v>
      </c>
      <c r="Q11" s="1">
        <f>IFERROR(AVERAGEIF('Full Player List'!$C$2:$C$1737, $C11, 'Full Player List'!AC$2:AC$1737),0)</f>
        <v>0</v>
      </c>
      <c r="R11" s="1">
        <f>IFERROR(AVERAGEIF('Full Player List'!$C$2:$C$1737, $C11, 'Full Player List'!AD$2:AD$1737),0)</f>
        <v>0</v>
      </c>
      <c r="S11" s="1">
        <f>IFERROR(AVERAGEIF('Full Player List'!$C$2:$C$1737, $C11, 'Full Player List'!AE$2:AE$1737),0)</f>
        <v>0</v>
      </c>
      <c r="T11" s="1">
        <f>IFERROR(AVERAGEIF('Full Player List'!$C$2:$C$1737, $C11, 'Full Player List'!AF$2:AF$1737),0)</f>
        <v>4.5</v>
      </c>
      <c r="U11" s="1">
        <f>IFERROR(AVERAGEIF('Full Player List'!$C$2:$C$1737, $C11, 'Full Player List'!AG$2:AG$1737),0)</f>
        <v>15</v>
      </c>
      <c r="V11" s="1">
        <f>IFERROR(AVERAGEIF('Full Player List'!$C$2:$C$1737, $C11, 'Full Player List'!AH$2:AH$1737),0)</f>
        <v>13</v>
      </c>
      <c r="W11" s="1">
        <f>IFERROR(AVERAGEIF('Full Player List'!$C$2:$C$1737, $C11, 'Full Player List'!AI$2:AI$1737),0)</f>
        <v>0</v>
      </c>
      <c r="X11" s="1">
        <f>IFERROR(AVERAGEIF('Full Player List'!$C$2:$C$1737, $C11, 'Full Player List'!AJ$2:AJ$1737),0)</f>
        <v>59</v>
      </c>
      <c r="Y11" s="1">
        <f>IFERROR(AVERAGEIF('Full Player List'!$C$2:$C$1737, $C11, 'Full Player List'!AK$2:AK$1737),0)</f>
        <v>0.5</v>
      </c>
      <c r="Z11" s="1">
        <f>IFERROR(AVERAGEIF('Full Player List'!$C$2:$C$1737, $C11, 'Full Player List'!AL$2:AL$1737),0)</f>
        <v>0</v>
      </c>
      <c r="AA11" s="1">
        <f>IFERROR(AVERAGEIF('Full Player List'!$C$2:$C$1737, $C11, 'Full Player List'!AM$2:AM$1737),0)</f>
        <v>0</v>
      </c>
    </row>
    <row r="12" spans="1:27" x14ac:dyDescent="0.3">
      <c r="A12">
        <v>364245</v>
      </c>
      <c r="B12" t="s">
        <v>50</v>
      </c>
      <c r="C12" t="s">
        <v>805</v>
      </c>
      <c r="G12" s="1">
        <f>IFERROR(AVERAGEIF('Full Player List'!$C$2:$C$1737, $C12, 'Full Player List'!S$2:S$1737),0)</f>
        <v>3.75</v>
      </c>
      <c r="H12" s="1">
        <f>IFERROR(AVERAGEIF('Full Player List'!$C$2:$C$1737, $C12, 'Full Player List'!T$2:T$1737),0)</f>
        <v>2</v>
      </c>
      <c r="I12" s="1">
        <f>IFERROR(AVERAGEIF('Full Player List'!$C$2:$C$1737, $C12, 'Full Player List'!U$2:U$1737),0)</f>
        <v>0.25</v>
      </c>
      <c r="J12" s="1">
        <f>IFERROR(AVERAGEIF('Full Player List'!$C$2:$C$1737, $C12, 'Full Player List'!V$2:V$1737),0)</f>
        <v>27.5</v>
      </c>
      <c r="K12" s="1">
        <f>IFERROR(AVERAGEIF('Full Player List'!$C$2:$C$1737, $C12, 'Full Player List'!W$2:W$1737),0)</f>
        <v>42.75</v>
      </c>
      <c r="L12" s="1">
        <f>IFERROR(AVERAGEIF('Full Player List'!$C$2:$C$1737, $C12, 'Full Player List'!X$2:X$1737),0)</f>
        <v>2.625</v>
      </c>
      <c r="M12" s="1">
        <f>IFERROR(AVERAGEIF('Full Player List'!$C$2:$C$1737, $C12, 'Full Player List'!Y$2:Y$1737),0)</f>
        <v>1.6666666666666667</v>
      </c>
      <c r="N12" s="1">
        <f>IFERROR(AVERAGEIF('Full Player List'!$C$2:$C$1737, $C12, 'Full Player List'!Z$2:Z$1737),0)</f>
        <v>0</v>
      </c>
      <c r="O12" s="1">
        <f>IFERROR(AVERAGEIF('Full Player List'!$C$2:$C$1737, $C12, 'Full Player List'!AA$2:AA$1737),0)</f>
        <v>0</v>
      </c>
      <c r="P12" s="1">
        <f>IFERROR(AVERAGEIF('Full Player List'!$C$2:$C$1737, $C12, 'Full Player List'!AB$2:AB$1737),0)</f>
        <v>0</v>
      </c>
      <c r="Q12" s="1">
        <f>IFERROR(AVERAGEIF('Full Player List'!$C$2:$C$1737, $C12, 'Full Player List'!AC$2:AC$1737),0)</f>
        <v>0</v>
      </c>
      <c r="R12" s="1">
        <f>IFERROR(AVERAGEIF('Full Player List'!$C$2:$C$1737, $C12, 'Full Player List'!AD$2:AD$1737),0)</f>
        <v>0</v>
      </c>
      <c r="S12" s="1">
        <f>IFERROR(AVERAGEIF('Full Player List'!$C$2:$C$1737, $C12, 'Full Player List'!AE$2:AE$1737),0)</f>
        <v>0</v>
      </c>
      <c r="T12" s="1">
        <f>IFERROR(AVERAGEIF('Full Player List'!$C$2:$C$1737, $C12, 'Full Player List'!AF$2:AF$1737),0)</f>
        <v>0</v>
      </c>
      <c r="U12" s="1">
        <f>IFERROR(AVERAGEIF('Full Player List'!$C$2:$C$1737, $C12, 'Full Player List'!AG$2:AG$1737),0)</f>
        <v>0</v>
      </c>
      <c r="V12" s="1">
        <f>IFERROR(AVERAGEIF('Full Player List'!$C$2:$C$1737, $C12, 'Full Player List'!AH$2:AH$1737),0)</f>
        <v>0</v>
      </c>
      <c r="W12" s="1">
        <f>IFERROR(AVERAGEIF('Full Player List'!$C$2:$C$1737, $C12, 'Full Player List'!AI$2:AI$1737),0)</f>
        <v>0</v>
      </c>
      <c r="X12" s="1">
        <f>IFERROR(AVERAGEIF('Full Player List'!$C$2:$C$1737, $C12, 'Full Player List'!AJ$2:AJ$1737),0)</f>
        <v>0</v>
      </c>
      <c r="Y12" s="1">
        <f>IFERROR(AVERAGEIF('Full Player List'!$C$2:$C$1737, $C12, 'Full Player List'!AK$2:AK$1737),0)</f>
        <v>0</v>
      </c>
      <c r="Z12" s="1">
        <f>IFERROR(AVERAGEIF('Full Player List'!$C$2:$C$1737, $C12, 'Full Player List'!AL$2:AL$1737),0)</f>
        <v>0</v>
      </c>
      <c r="AA12" s="1">
        <f>IFERROR(AVERAGEIF('Full Player List'!$C$2:$C$1737, $C12, 'Full Player List'!AM$2:AM$1737),0)</f>
        <v>0</v>
      </c>
    </row>
    <row r="13" spans="1:27" x14ac:dyDescent="0.3">
      <c r="A13">
        <v>424645</v>
      </c>
      <c r="B13" t="s">
        <v>50</v>
      </c>
      <c r="C13" t="s">
        <v>845</v>
      </c>
      <c r="G13" s="1">
        <f>IFERROR(AVERAGEIF('Full Player List'!$C$2:$C$1737, $C13, 'Full Player List'!S$2:S$1737),0)</f>
        <v>3.3333333333333335</v>
      </c>
      <c r="H13" s="1">
        <f>IFERROR(AVERAGEIF('Full Player List'!$C$2:$C$1737, $C13, 'Full Player List'!T$2:T$1737),0)</f>
        <v>0.33333333333333331</v>
      </c>
      <c r="I13" s="1">
        <f>IFERROR(AVERAGEIF('Full Player List'!$C$2:$C$1737, $C13, 'Full Player List'!U$2:U$1737),0)</f>
        <v>0</v>
      </c>
      <c r="J13" s="1">
        <f>IFERROR(AVERAGEIF('Full Player List'!$C$2:$C$1737, $C13, 'Full Player List'!V$2:V$1737),0)</f>
        <v>10</v>
      </c>
      <c r="K13" s="1">
        <f>IFERROR(AVERAGEIF('Full Player List'!$C$2:$C$1737, $C13, 'Full Player List'!W$2:W$1737),0)</f>
        <v>11.666666666666666</v>
      </c>
      <c r="L13" s="1">
        <f>IFERROR(AVERAGEIF('Full Player List'!$C$2:$C$1737, $C13, 'Full Player List'!X$2:X$1737),0)</f>
        <v>0.66666666666666663</v>
      </c>
      <c r="M13" s="1">
        <f>IFERROR(AVERAGEIF('Full Player List'!$C$2:$C$1737, $C13, 'Full Player List'!Y$2:Y$1737),0)</f>
        <v>6</v>
      </c>
      <c r="N13" s="1">
        <f>IFERROR(AVERAGEIF('Full Player List'!$C$2:$C$1737, $C13, 'Full Player List'!Z$2:Z$1737),0)</f>
        <v>0</v>
      </c>
      <c r="O13" s="1">
        <f>IFERROR(AVERAGEIF('Full Player List'!$C$2:$C$1737, $C13, 'Full Player List'!AA$2:AA$1737),0)</f>
        <v>0</v>
      </c>
      <c r="P13" s="1">
        <f>IFERROR(AVERAGEIF('Full Player List'!$C$2:$C$1737, $C13, 'Full Player List'!AB$2:AB$1737),0)</f>
        <v>0</v>
      </c>
      <c r="Q13" s="1">
        <f>IFERROR(AVERAGEIF('Full Player List'!$C$2:$C$1737, $C13, 'Full Player List'!AC$2:AC$1737),0)</f>
        <v>0</v>
      </c>
      <c r="R13" s="1">
        <f>IFERROR(AVERAGEIF('Full Player List'!$C$2:$C$1737, $C13, 'Full Player List'!AD$2:AD$1737),0)</f>
        <v>0</v>
      </c>
      <c r="S13" s="1">
        <f>IFERROR(AVERAGEIF('Full Player List'!$C$2:$C$1737, $C13, 'Full Player List'!AE$2:AE$1737),0)</f>
        <v>0</v>
      </c>
      <c r="T13" s="1">
        <f>IFERROR(AVERAGEIF('Full Player List'!$C$2:$C$1737, $C13, 'Full Player List'!AF$2:AF$1737),0)</f>
        <v>0</v>
      </c>
      <c r="U13" s="1">
        <f>IFERROR(AVERAGEIF('Full Player List'!$C$2:$C$1737, $C13, 'Full Player List'!AG$2:AG$1737),0)</f>
        <v>0</v>
      </c>
      <c r="V13" s="1">
        <f>IFERROR(AVERAGEIF('Full Player List'!$C$2:$C$1737, $C13, 'Full Player List'!AH$2:AH$1737),0)</f>
        <v>0</v>
      </c>
      <c r="W13" s="1">
        <f>IFERROR(AVERAGEIF('Full Player List'!$C$2:$C$1737, $C13, 'Full Player List'!AI$2:AI$1737),0)</f>
        <v>0</v>
      </c>
      <c r="X13" s="1">
        <f>IFERROR(AVERAGEIF('Full Player List'!$C$2:$C$1737, $C13, 'Full Player List'!AJ$2:AJ$1737),0)</f>
        <v>0</v>
      </c>
      <c r="Y13" s="1">
        <f>IFERROR(AVERAGEIF('Full Player List'!$C$2:$C$1737, $C13, 'Full Player List'!AK$2:AK$1737),0)</f>
        <v>0</v>
      </c>
      <c r="Z13" s="1">
        <f>IFERROR(AVERAGEIF('Full Player List'!$C$2:$C$1737, $C13, 'Full Player List'!AL$2:AL$1737),0)</f>
        <v>0</v>
      </c>
      <c r="AA13" s="1">
        <f>IFERROR(AVERAGEIF('Full Player List'!$C$2:$C$1737, $C13, 'Full Player List'!AM$2:AM$1737),0)</f>
        <v>0</v>
      </c>
    </row>
    <row r="14" spans="1:27" x14ac:dyDescent="0.3">
      <c r="A14">
        <v>300511</v>
      </c>
      <c r="B14" t="s">
        <v>50</v>
      </c>
      <c r="C14" t="s">
        <v>330</v>
      </c>
      <c r="G14" s="1">
        <f>IFERROR(AVERAGEIF('Full Player List'!$C$2:$C$1737, $C14, 'Full Player List'!S$2:S$1737),0)</f>
        <v>3.6</v>
      </c>
      <c r="H14" s="1">
        <f>IFERROR(AVERAGEIF('Full Player List'!$C$2:$C$1737, $C14, 'Full Player List'!T$2:T$1737),0)</f>
        <v>0.2</v>
      </c>
      <c r="I14" s="1">
        <f>IFERROR(AVERAGEIF('Full Player List'!$C$2:$C$1737, $C14, 'Full Player List'!U$2:U$1737),0)</f>
        <v>0</v>
      </c>
      <c r="J14" s="1">
        <f>IFERROR(AVERAGEIF('Full Player List'!$C$2:$C$1737, $C14, 'Full Player List'!V$2:V$1737),0)</f>
        <v>16.8</v>
      </c>
      <c r="K14" s="1">
        <f>IFERROR(AVERAGEIF('Full Player List'!$C$2:$C$1737, $C14, 'Full Player List'!W$2:W$1737),0)</f>
        <v>26.6</v>
      </c>
      <c r="L14" s="1">
        <f>IFERROR(AVERAGEIF('Full Player List'!$C$2:$C$1737, $C14, 'Full Player List'!X$2:X$1737),0)</f>
        <v>0.7</v>
      </c>
      <c r="M14" s="1">
        <f>IFERROR(AVERAGEIF('Full Player List'!$C$2:$C$1737, $C14, 'Full Player List'!Y$2:Y$1737),0)</f>
        <v>1</v>
      </c>
      <c r="N14" s="1">
        <f>IFERROR(AVERAGEIF('Full Player List'!$C$2:$C$1737, $C14, 'Full Player List'!Z$2:Z$1737),0)</f>
        <v>0</v>
      </c>
      <c r="O14" s="1">
        <f>IFERROR(AVERAGEIF('Full Player List'!$C$2:$C$1737, $C14, 'Full Player List'!AA$2:AA$1737),0)</f>
        <v>0</v>
      </c>
      <c r="P14" s="1">
        <f>IFERROR(AVERAGEIF('Full Player List'!$C$2:$C$1737, $C14, 'Full Player List'!AB$2:AB$1737),0)</f>
        <v>0</v>
      </c>
      <c r="Q14" s="1">
        <f>IFERROR(AVERAGEIF('Full Player List'!$C$2:$C$1737, $C14, 'Full Player List'!AC$2:AC$1737),0)</f>
        <v>0</v>
      </c>
      <c r="R14" s="1">
        <f>IFERROR(AVERAGEIF('Full Player List'!$C$2:$C$1737, $C14, 'Full Player List'!AD$2:AD$1737),0)</f>
        <v>0</v>
      </c>
      <c r="S14" s="1">
        <f>IFERROR(AVERAGEIF('Full Player List'!$C$2:$C$1737, $C14, 'Full Player List'!AE$2:AE$1737),0)</f>
        <v>0</v>
      </c>
      <c r="T14" s="1">
        <f>IFERROR(AVERAGEIF('Full Player List'!$C$2:$C$1737, $C14, 'Full Player List'!AF$2:AF$1737),0)</f>
        <v>0</v>
      </c>
      <c r="U14" s="1">
        <f>IFERROR(AVERAGEIF('Full Player List'!$C$2:$C$1737, $C14, 'Full Player List'!AG$2:AG$1737),0)</f>
        <v>0</v>
      </c>
      <c r="V14" s="1">
        <f>IFERROR(AVERAGEIF('Full Player List'!$C$2:$C$1737, $C14, 'Full Player List'!AH$2:AH$1737),0)</f>
        <v>0</v>
      </c>
      <c r="W14" s="1">
        <f>IFERROR(AVERAGEIF('Full Player List'!$C$2:$C$1737, $C14, 'Full Player List'!AI$2:AI$1737),0)</f>
        <v>0</v>
      </c>
      <c r="X14" s="1">
        <f>IFERROR(AVERAGEIF('Full Player List'!$C$2:$C$1737, $C14, 'Full Player List'!AJ$2:AJ$1737),0)</f>
        <v>0</v>
      </c>
      <c r="Y14" s="1">
        <f>IFERROR(AVERAGEIF('Full Player List'!$C$2:$C$1737, $C14, 'Full Player List'!AK$2:AK$1737),0)</f>
        <v>0</v>
      </c>
      <c r="Z14" s="1">
        <f>IFERROR(AVERAGEIF('Full Player List'!$C$2:$C$1737, $C14, 'Full Player List'!AL$2:AL$1737),0)</f>
        <v>0</v>
      </c>
      <c r="AA14" s="1">
        <f>IFERROR(AVERAGEIF('Full Player List'!$C$2:$C$1737, $C14, 'Full Player List'!AM$2:AM$1737),0)</f>
        <v>0</v>
      </c>
    </row>
    <row r="15" spans="1:27" x14ac:dyDescent="0.3">
      <c r="A15">
        <v>325610</v>
      </c>
      <c r="B15" t="s">
        <v>50</v>
      </c>
      <c r="C15" t="s">
        <v>531</v>
      </c>
      <c r="G15" s="1">
        <f>IFERROR(AVERAGEIF('Full Player List'!$C$2:$C$1737, $C15, 'Full Player List'!S$2:S$1737),0)</f>
        <v>5</v>
      </c>
      <c r="H15" s="1">
        <f>IFERROR(AVERAGEIF('Full Player List'!$C$2:$C$1737, $C15, 'Full Player List'!T$2:T$1737),0)</f>
        <v>0</v>
      </c>
      <c r="I15" s="1">
        <f>IFERROR(AVERAGEIF('Full Player List'!$C$2:$C$1737, $C15, 'Full Player List'!U$2:U$1737),0)</f>
        <v>0.25</v>
      </c>
      <c r="J15" s="1">
        <f>IFERROR(AVERAGEIF('Full Player List'!$C$2:$C$1737, $C15, 'Full Player List'!V$2:V$1737),0)</f>
        <v>24.25</v>
      </c>
      <c r="K15" s="1">
        <f>IFERROR(AVERAGEIF('Full Player List'!$C$2:$C$1737, $C15, 'Full Player List'!W$2:W$1737),0)</f>
        <v>35.5</v>
      </c>
      <c r="L15" s="1">
        <f>IFERROR(AVERAGEIF('Full Player List'!$C$2:$C$1737, $C15, 'Full Player List'!X$2:X$1737),0)</f>
        <v>1.5</v>
      </c>
      <c r="M15" s="1">
        <f>IFERROR(AVERAGEIF('Full Player List'!$C$2:$C$1737, $C15, 'Full Player List'!Y$2:Y$1737),0)</f>
        <v>1.5</v>
      </c>
      <c r="N15" s="1">
        <f>IFERROR(AVERAGEIF('Full Player List'!$C$2:$C$1737, $C15, 'Full Player List'!Z$2:Z$1737),0)</f>
        <v>0</v>
      </c>
      <c r="O15" s="1">
        <f>IFERROR(AVERAGEIF('Full Player List'!$C$2:$C$1737, $C15, 'Full Player List'!AA$2:AA$1737),0)</f>
        <v>0</v>
      </c>
      <c r="P15" s="1">
        <f>IFERROR(AVERAGEIF('Full Player List'!$C$2:$C$1737, $C15, 'Full Player List'!AB$2:AB$1737),0)</f>
        <v>0</v>
      </c>
      <c r="Q15" s="1">
        <f>IFERROR(AVERAGEIF('Full Player List'!$C$2:$C$1737, $C15, 'Full Player List'!AC$2:AC$1737),0)</f>
        <v>0</v>
      </c>
      <c r="R15" s="1">
        <f>IFERROR(AVERAGEIF('Full Player List'!$C$2:$C$1737, $C15, 'Full Player List'!AD$2:AD$1737),0)</f>
        <v>0</v>
      </c>
      <c r="S15" s="1">
        <f>IFERROR(AVERAGEIF('Full Player List'!$C$2:$C$1737, $C15, 'Full Player List'!AE$2:AE$1737),0)</f>
        <v>0</v>
      </c>
      <c r="T15" s="1">
        <f>IFERROR(AVERAGEIF('Full Player List'!$C$2:$C$1737, $C15, 'Full Player List'!AF$2:AF$1737),0)</f>
        <v>0</v>
      </c>
      <c r="U15" s="1">
        <f>IFERROR(AVERAGEIF('Full Player List'!$C$2:$C$1737, $C15, 'Full Player List'!AG$2:AG$1737),0)</f>
        <v>0</v>
      </c>
      <c r="V15" s="1">
        <f>IFERROR(AVERAGEIF('Full Player List'!$C$2:$C$1737, $C15, 'Full Player List'!AH$2:AH$1737),0)</f>
        <v>0</v>
      </c>
      <c r="W15" s="1">
        <f>IFERROR(AVERAGEIF('Full Player List'!$C$2:$C$1737, $C15, 'Full Player List'!AI$2:AI$1737),0)</f>
        <v>0</v>
      </c>
      <c r="X15" s="1">
        <f>IFERROR(AVERAGEIF('Full Player List'!$C$2:$C$1737, $C15, 'Full Player List'!AJ$2:AJ$1737),0)</f>
        <v>0</v>
      </c>
      <c r="Y15" s="1">
        <f>IFERROR(AVERAGEIF('Full Player List'!$C$2:$C$1737, $C15, 'Full Player List'!AK$2:AK$1737),0)</f>
        <v>0</v>
      </c>
      <c r="Z15" s="1">
        <f>IFERROR(AVERAGEIF('Full Player List'!$C$2:$C$1737, $C15, 'Full Player List'!AL$2:AL$1737),0)</f>
        <v>0</v>
      </c>
      <c r="AA15" s="1">
        <f>IFERROR(AVERAGEIF('Full Player List'!$C$2:$C$1737, $C15, 'Full Player List'!AM$2:AM$1737),0)</f>
        <v>0</v>
      </c>
    </row>
    <row r="16" spans="1:27" x14ac:dyDescent="0.3">
      <c r="A16">
        <v>326405</v>
      </c>
      <c r="B16" t="s">
        <v>50</v>
      </c>
      <c r="C16" t="s">
        <v>544</v>
      </c>
      <c r="G16" s="1">
        <f>IFERROR(AVERAGEIF('Full Player List'!$C$2:$C$1737, $C16, 'Full Player List'!S$2:S$1737),0)</f>
        <v>4</v>
      </c>
      <c r="H16" s="1">
        <f>IFERROR(AVERAGEIF('Full Player List'!$C$2:$C$1737, $C16, 'Full Player List'!T$2:T$1737),0)</f>
        <v>0</v>
      </c>
      <c r="I16" s="1">
        <f>IFERROR(AVERAGEIF('Full Player List'!$C$2:$C$1737, $C16, 'Full Player List'!U$2:U$1737),0)</f>
        <v>0</v>
      </c>
      <c r="J16" s="1">
        <f>IFERROR(AVERAGEIF('Full Player List'!$C$2:$C$1737, $C16, 'Full Player List'!V$2:V$1737),0)</f>
        <v>19</v>
      </c>
      <c r="K16" s="1">
        <f>IFERROR(AVERAGEIF('Full Player List'!$C$2:$C$1737, $C16, 'Full Player List'!W$2:W$1737),0)</f>
        <v>28</v>
      </c>
      <c r="L16" s="1">
        <f>IFERROR(AVERAGEIF('Full Player List'!$C$2:$C$1737, $C16, 'Full Player List'!X$2:X$1737),0)</f>
        <v>2</v>
      </c>
      <c r="M16" s="1">
        <f>IFERROR(AVERAGEIF('Full Player List'!$C$2:$C$1737, $C16, 'Full Player List'!Y$2:Y$1737),0)</f>
        <v>0</v>
      </c>
      <c r="N16" s="1">
        <f>IFERROR(AVERAGEIF('Full Player List'!$C$2:$C$1737, $C16, 'Full Player List'!Z$2:Z$1737),0)</f>
        <v>0</v>
      </c>
      <c r="O16" s="1">
        <f>IFERROR(AVERAGEIF('Full Player List'!$C$2:$C$1737, $C16, 'Full Player List'!AA$2:AA$1737),0)</f>
        <v>0</v>
      </c>
      <c r="P16" s="1">
        <f>IFERROR(AVERAGEIF('Full Player List'!$C$2:$C$1737, $C16, 'Full Player List'!AB$2:AB$1737),0)</f>
        <v>0</v>
      </c>
      <c r="Q16" s="1">
        <f>IFERROR(AVERAGEIF('Full Player List'!$C$2:$C$1737, $C16, 'Full Player List'!AC$2:AC$1737),0)</f>
        <v>0</v>
      </c>
      <c r="R16" s="1">
        <f>IFERROR(AVERAGEIF('Full Player List'!$C$2:$C$1737, $C16, 'Full Player List'!AD$2:AD$1737),0)</f>
        <v>0</v>
      </c>
      <c r="S16" s="1">
        <f>IFERROR(AVERAGEIF('Full Player List'!$C$2:$C$1737, $C16, 'Full Player List'!AE$2:AE$1737),0)</f>
        <v>0</v>
      </c>
      <c r="T16" s="1">
        <f>IFERROR(AVERAGEIF('Full Player List'!$C$2:$C$1737, $C16, 'Full Player List'!AF$2:AF$1737),0)</f>
        <v>0</v>
      </c>
      <c r="U16" s="1">
        <f>IFERROR(AVERAGEIF('Full Player List'!$C$2:$C$1737, $C16, 'Full Player List'!AG$2:AG$1737),0)</f>
        <v>0</v>
      </c>
      <c r="V16" s="1">
        <f>IFERROR(AVERAGEIF('Full Player List'!$C$2:$C$1737, $C16, 'Full Player List'!AH$2:AH$1737),0)</f>
        <v>0</v>
      </c>
      <c r="W16" s="1">
        <f>IFERROR(AVERAGEIF('Full Player List'!$C$2:$C$1737, $C16, 'Full Player List'!AI$2:AI$1737),0)</f>
        <v>0</v>
      </c>
      <c r="X16" s="1">
        <f>IFERROR(AVERAGEIF('Full Player List'!$C$2:$C$1737, $C16, 'Full Player List'!AJ$2:AJ$1737),0)</f>
        <v>0</v>
      </c>
      <c r="Y16" s="1">
        <f>IFERROR(AVERAGEIF('Full Player List'!$C$2:$C$1737, $C16, 'Full Player List'!AK$2:AK$1737),0)</f>
        <v>0</v>
      </c>
      <c r="Z16" s="1">
        <f>IFERROR(AVERAGEIF('Full Player List'!$C$2:$C$1737, $C16, 'Full Player List'!AL$2:AL$1737),0)</f>
        <v>0</v>
      </c>
      <c r="AA16" s="1">
        <f>IFERROR(AVERAGEIF('Full Player List'!$C$2:$C$1737, $C16, 'Full Player List'!AM$2:AM$1737),0)</f>
        <v>0</v>
      </c>
    </row>
    <row r="17" spans="1:27" x14ac:dyDescent="0.3">
      <c r="A17">
        <v>315830</v>
      </c>
      <c r="B17" t="s">
        <v>50</v>
      </c>
      <c r="C17" t="s">
        <v>474</v>
      </c>
      <c r="G17" s="1">
        <f>IFERROR(AVERAGEIF('Full Player List'!$C$2:$C$1737, $C17, 'Full Player List'!S$2:S$1737),0)</f>
        <v>5</v>
      </c>
      <c r="H17" s="1">
        <f>IFERROR(AVERAGEIF('Full Player List'!$C$2:$C$1737, $C17, 'Full Player List'!T$2:T$1737),0)</f>
        <v>0</v>
      </c>
      <c r="I17" s="1">
        <f>IFERROR(AVERAGEIF('Full Player List'!$C$2:$C$1737, $C17, 'Full Player List'!U$2:U$1737),0)</f>
        <v>0.16666666666666666</v>
      </c>
      <c r="J17" s="1">
        <f>IFERROR(AVERAGEIF('Full Player List'!$C$2:$C$1737, $C17, 'Full Player List'!V$2:V$1737),0)</f>
        <v>22</v>
      </c>
      <c r="K17" s="1">
        <f>IFERROR(AVERAGEIF('Full Player List'!$C$2:$C$1737, $C17, 'Full Player List'!W$2:W$1737),0)</f>
        <v>28</v>
      </c>
      <c r="L17" s="1">
        <f>IFERROR(AVERAGEIF('Full Player List'!$C$2:$C$1737, $C17, 'Full Player List'!X$2:X$1737),0)</f>
        <v>1.6666666666666667</v>
      </c>
      <c r="M17" s="1">
        <f>IFERROR(AVERAGEIF('Full Player List'!$C$2:$C$1737, $C17, 'Full Player List'!Y$2:Y$1737),0)</f>
        <v>3.5</v>
      </c>
      <c r="N17" s="1">
        <f>IFERROR(AVERAGEIF('Full Player List'!$C$2:$C$1737, $C17, 'Full Player List'!Z$2:Z$1737),0)</f>
        <v>0.33333333333333331</v>
      </c>
      <c r="O17" s="1">
        <f>IFERROR(AVERAGEIF('Full Player List'!$C$2:$C$1737, $C17, 'Full Player List'!AA$2:AA$1737),0)</f>
        <v>23.066666666666666</v>
      </c>
      <c r="P17" s="1">
        <f>IFERROR(AVERAGEIF('Full Player List'!$C$2:$C$1737, $C17, 'Full Player List'!AB$2:AB$1737),0)</f>
        <v>37</v>
      </c>
      <c r="Q17" s="1">
        <f>IFERROR(AVERAGEIF('Full Player List'!$C$2:$C$1737, $C17, 'Full Player List'!AC$2:AC$1737),0)</f>
        <v>13.333333333333334</v>
      </c>
      <c r="R17" s="1">
        <f>IFERROR(AVERAGEIF('Full Player List'!$C$2:$C$1737, $C17, 'Full Player List'!AD$2:AD$1737),0)</f>
        <v>0</v>
      </c>
      <c r="S17" s="1">
        <f>IFERROR(AVERAGEIF('Full Player List'!$C$2:$C$1737, $C17, 'Full Player List'!AE$2:AE$1737),0)</f>
        <v>289.33333333333331</v>
      </c>
      <c r="T17" s="1">
        <f>IFERROR(AVERAGEIF('Full Player List'!$C$2:$C$1737, $C17, 'Full Player List'!AF$2:AF$1737),0)</f>
        <v>41</v>
      </c>
      <c r="U17" s="1">
        <f>IFERROR(AVERAGEIF('Full Player List'!$C$2:$C$1737, $C17, 'Full Player List'!AG$2:AG$1737),0)</f>
        <v>78</v>
      </c>
      <c r="V17" s="1">
        <f>IFERROR(AVERAGEIF('Full Player List'!$C$2:$C$1737, $C17, 'Full Player List'!AH$2:AH$1737),0)</f>
        <v>2</v>
      </c>
      <c r="W17" s="1">
        <f>IFERROR(AVERAGEIF('Full Player List'!$C$2:$C$1737, $C17, 'Full Player List'!AI$2:AI$1737),0)</f>
        <v>1</v>
      </c>
      <c r="X17" s="1">
        <f>IFERROR(AVERAGEIF('Full Player List'!$C$2:$C$1737, $C17, 'Full Player List'!AJ$2:AJ$1737),0)</f>
        <v>82</v>
      </c>
      <c r="Y17" s="1">
        <f>IFERROR(AVERAGEIF('Full Player List'!$C$2:$C$1737, $C17, 'Full Player List'!AK$2:AK$1737),0)</f>
        <v>0</v>
      </c>
      <c r="Z17" s="1">
        <f>IFERROR(AVERAGEIF('Full Player List'!$C$2:$C$1737, $C17, 'Full Player List'!AL$2:AL$1737),0)</f>
        <v>0</v>
      </c>
      <c r="AA17" s="1">
        <f>IFERROR(AVERAGEIF('Full Player List'!$C$2:$C$1737, $C17, 'Full Player List'!AM$2:AM$1737),0)</f>
        <v>0</v>
      </c>
    </row>
    <row r="18" spans="1:27" x14ac:dyDescent="0.3">
      <c r="A18">
        <v>326492</v>
      </c>
      <c r="B18" t="s">
        <v>50</v>
      </c>
      <c r="C18" t="s">
        <v>552</v>
      </c>
      <c r="G18" s="1">
        <f>IFERROR(AVERAGEIF('Full Player List'!$C$2:$C$1737, $C18, 'Full Player List'!S$2:S$1737),0)</f>
        <v>4.75</v>
      </c>
      <c r="H18" s="1">
        <f>IFERROR(AVERAGEIF('Full Player List'!$C$2:$C$1737, $C18, 'Full Player List'!T$2:T$1737),0)</f>
        <v>0.5</v>
      </c>
      <c r="I18" s="1">
        <f>IFERROR(AVERAGEIF('Full Player List'!$C$2:$C$1737, $C18, 'Full Player List'!U$2:U$1737),0)</f>
        <v>0.25</v>
      </c>
      <c r="J18" s="1">
        <f>IFERROR(AVERAGEIF('Full Player List'!$C$2:$C$1737, $C18, 'Full Player List'!V$2:V$1737),0)</f>
        <v>18.25</v>
      </c>
      <c r="K18" s="1">
        <f>IFERROR(AVERAGEIF('Full Player List'!$C$2:$C$1737, $C18, 'Full Player List'!W$2:W$1737),0)</f>
        <v>25.75</v>
      </c>
      <c r="L18" s="1">
        <f>IFERROR(AVERAGEIF('Full Player List'!$C$2:$C$1737, $C18, 'Full Player List'!X$2:X$1737),0)</f>
        <v>1.125</v>
      </c>
      <c r="M18" s="1">
        <f>IFERROR(AVERAGEIF('Full Player List'!$C$2:$C$1737, $C18, 'Full Player List'!Y$2:Y$1737),0)</f>
        <v>3</v>
      </c>
      <c r="N18" s="1">
        <f>IFERROR(AVERAGEIF('Full Player List'!$C$2:$C$1737, $C18, 'Full Player List'!Z$2:Z$1737),0)</f>
        <v>0</v>
      </c>
      <c r="O18" s="1">
        <f>IFERROR(AVERAGEIF('Full Player List'!$C$2:$C$1737, $C18, 'Full Player List'!AA$2:AA$1737),0)</f>
        <v>0</v>
      </c>
      <c r="P18" s="1">
        <f>IFERROR(AVERAGEIF('Full Player List'!$C$2:$C$1737, $C18, 'Full Player List'!AB$2:AB$1737),0)</f>
        <v>0</v>
      </c>
      <c r="Q18" s="1">
        <f>IFERROR(AVERAGEIF('Full Player List'!$C$2:$C$1737, $C18, 'Full Player List'!AC$2:AC$1737),0)</f>
        <v>0</v>
      </c>
      <c r="R18" s="1">
        <f>IFERROR(AVERAGEIF('Full Player List'!$C$2:$C$1737, $C18, 'Full Player List'!AD$2:AD$1737),0)</f>
        <v>0</v>
      </c>
      <c r="S18" s="1">
        <f>IFERROR(AVERAGEIF('Full Player List'!$C$2:$C$1737, $C18, 'Full Player List'!AE$2:AE$1737),0)</f>
        <v>0</v>
      </c>
      <c r="T18" s="1">
        <f>IFERROR(AVERAGEIF('Full Player List'!$C$2:$C$1737, $C18, 'Full Player List'!AF$2:AF$1737),0)</f>
        <v>0</v>
      </c>
      <c r="U18" s="1">
        <f>IFERROR(AVERAGEIF('Full Player List'!$C$2:$C$1737, $C18, 'Full Player List'!AG$2:AG$1737),0)</f>
        <v>0</v>
      </c>
      <c r="V18" s="1">
        <f>IFERROR(AVERAGEIF('Full Player List'!$C$2:$C$1737, $C18, 'Full Player List'!AH$2:AH$1737),0)</f>
        <v>0</v>
      </c>
      <c r="W18" s="1">
        <f>IFERROR(AVERAGEIF('Full Player List'!$C$2:$C$1737, $C18, 'Full Player List'!AI$2:AI$1737),0)</f>
        <v>0</v>
      </c>
      <c r="X18" s="1">
        <f>IFERROR(AVERAGEIF('Full Player List'!$C$2:$C$1737, $C18, 'Full Player List'!AJ$2:AJ$1737),0)</f>
        <v>0</v>
      </c>
      <c r="Y18" s="1">
        <f>IFERROR(AVERAGEIF('Full Player List'!$C$2:$C$1737, $C18, 'Full Player List'!AK$2:AK$1737),0)</f>
        <v>0</v>
      </c>
      <c r="Z18" s="1">
        <f>IFERROR(AVERAGEIF('Full Player List'!$C$2:$C$1737, $C18, 'Full Player List'!AL$2:AL$1737),0)</f>
        <v>0</v>
      </c>
      <c r="AA18" s="1">
        <f>IFERROR(AVERAGEIF('Full Player List'!$C$2:$C$1737, $C18, 'Full Player List'!AM$2:AM$1737),0)</f>
        <v>0</v>
      </c>
    </row>
    <row r="19" spans="1:27" x14ac:dyDescent="0.3">
      <c r="A19">
        <v>328048</v>
      </c>
      <c r="B19" t="s">
        <v>50</v>
      </c>
      <c r="C19" t="s">
        <v>578</v>
      </c>
      <c r="G19" s="1">
        <f>IFERROR(AVERAGEIF('Full Player List'!$C$2:$C$1737, $C19, 'Full Player List'!S$2:S$1737),0)</f>
        <v>4.5999999999999996</v>
      </c>
      <c r="H19" s="1">
        <f>IFERROR(AVERAGEIF('Full Player List'!$C$2:$C$1737, $C19, 'Full Player List'!T$2:T$1737),0)</f>
        <v>0.2</v>
      </c>
      <c r="I19" s="1">
        <f>IFERROR(AVERAGEIF('Full Player List'!$C$2:$C$1737, $C19, 'Full Player List'!U$2:U$1737),0)</f>
        <v>0</v>
      </c>
      <c r="J19" s="1">
        <f>IFERROR(AVERAGEIF('Full Player List'!$C$2:$C$1737, $C19, 'Full Player List'!V$2:V$1737),0)</f>
        <v>11</v>
      </c>
      <c r="K19" s="1">
        <f>IFERROR(AVERAGEIF('Full Player List'!$C$2:$C$1737, $C19, 'Full Player List'!W$2:W$1737),0)</f>
        <v>17</v>
      </c>
      <c r="L19" s="1">
        <f>IFERROR(AVERAGEIF('Full Player List'!$C$2:$C$1737, $C19, 'Full Player List'!X$2:X$1737),0)</f>
        <v>0.3</v>
      </c>
      <c r="M19" s="1">
        <f>IFERROR(AVERAGEIF('Full Player List'!$C$2:$C$1737, $C19, 'Full Player List'!Y$2:Y$1737),0)</f>
        <v>2.6666666666666665</v>
      </c>
      <c r="N19" s="1">
        <f>IFERROR(AVERAGEIF('Full Player List'!$C$2:$C$1737, $C19, 'Full Player List'!Z$2:Z$1737),0)</f>
        <v>0.8</v>
      </c>
      <c r="O19" s="1">
        <f>IFERROR(AVERAGEIF('Full Player List'!$C$2:$C$1737, $C19, 'Full Player List'!AA$2:AA$1737),0)</f>
        <v>0</v>
      </c>
      <c r="P19" s="1">
        <f>IFERROR(AVERAGEIF('Full Player List'!$C$2:$C$1737, $C19, 'Full Player List'!AB$2:AB$1737),0)</f>
        <v>0</v>
      </c>
      <c r="Q19" s="1">
        <f>IFERROR(AVERAGEIF('Full Player List'!$C$2:$C$1737, $C19, 'Full Player List'!AC$2:AC$1737),0)</f>
        <v>2</v>
      </c>
      <c r="R19" s="1">
        <f>IFERROR(AVERAGEIF('Full Player List'!$C$2:$C$1737, $C19, 'Full Player List'!AD$2:AD$1737),0)</f>
        <v>0</v>
      </c>
      <c r="S19" s="1">
        <f>IFERROR(AVERAGEIF('Full Player List'!$C$2:$C$1737, $C19, 'Full Player List'!AE$2:AE$1737),0)</f>
        <v>0</v>
      </c>
      <c r="T19" s="1">
        <f>IFERROR(AVERAGEIF('Full Player List'!$C$2:$C$1737, $C19, 'Full Player List'!AF$2:AF$1737),0)</f>
        <v>7.45</v>
      </c>
      <c r="U19" s="1">
        <f>IFERROR(AVERAGEIF('Full Player List'!$C$2:$C$1737, $C19, 'Full Player List'!AG$2:AG$1737),0)</f>
        <v>58</v>
      </c>
      <c r="V19" s="1">
        <f>IFERROR(AVERAGEIF('Full Player List'!$C$2:$C$1737, $C19, 'Full Player List'!AH$2:AH$1737),0)</f>
        <v>22.5</v>
      </c>
      <c r="W19" s="1">
        <f>IFERROR(AVERAGEIF('Full Player List'!$C$2:$C$1737, $C19, 'Full Player List'!AI$2:AI$1737),0)</f>
        <v>0.5</v>
      </c>
      <c r="X19" s="1">
        <f>IFERROR(AVERAGEIF('Full Player List'!$C$2:$C$1737, $C19, 'Full Player List'!AJ$2:AJ$1737),0)</f>
        <v>173</v>
      </c>
      <c r="Y19" s="1">
        <f>IFERROR(AVERAGEIF('Full Player List'!$C$2:$C$1737, $C19, 'Full Player List'!AK$2:AK$1737),0)</f>
        <v>1.5</v>
      </c>
      <c r="Z19" s="1">
        <f>IFERROR(AVERAGEIF('Full Player List'!$C$2:$C$1737, $C19, 'Full Player List'!AL$2:AL$1737),0)</f>
        <v>0.5</v>
      </c>
      <c r="AA19" s="1">
        <f>IFERROR(AVERAGEIF('Full Player List'!$C$2:$C$1737, $C19, 'Full Player List'!AM$2:AM$1737),0)</f>
        <v>0</v>
      </c>
    </row>
    <row r="20" spans="1:27" x14ac:dyDescent="0.3">
      <c r="A20">
        <v>330226</v>
      </c>
      <c r="B20" t="s">
        <v>50</v>
      </c>
      <c r="C20" t="s">
        <v>601</v>
      </c>
      <c r="G20" s="1">
        <f>IFERROR(AVERAGEIF('Full Player List'!$C$2:$C$1737, $C20, 'Full Player List'!S$2:S$1737),0)</f>
        <v>4.8</v>
      </c>
      <c r="H20" s="1">
        <f>IFERROR(AVERAGEIF('Full Player List'!$C$2:$C$1737, $C20, 'Full Player List'!T$2:T$1737),0)</f>
        <v>0.6</v>
      </c>
      <c r="I20" s="1">
        <f>IFERROR(AVERAGEIF('Full Player List'!$C$2:$C$1737, $C20, 'Full Player List'!U$2:U$1737),0)</f>
        <v>0.4</v>
      </c>
      <c r="J20" s="1">
        <f>IFERROR(AVERAGEIF('Full Player List'!$C$2:$C$1737, $C20, 'Full Player List'!V$2:V$1737),0)</f>
        <v>14</v>
      </c>
      <c r="K20" s="1">
        <f>IFERROR(AVERAGEIF('Full Player List'!$C$2:$C$1737, $C20, 'Full Player List'!W$2:W$1737),0)</f>
        <v>20.399999999999999</v>
      </c>
      <c r="L20" s="1">
        <f>IFERROR(AVERAGEIF('Full Player List'!$C$2:$C$1737, $C20, 'Full Player List'!X$2:X$1737),0)</f>
        <v>1.4</v>
      </c>
      <c r="M20" s="1">
        <f>IFERROR(AVERAGEIF('Full Player List'!$C$2:$C$1737, $C20, 'Full Player List'!Y$2:Y$1737),0)</f>
        <v>1</v>
      </c>
      <c r="N20" s="1">
        <f>IFERROR(AVERAGEIF('Full Player List'!$C$2:$C$1737, $C20, 'Full Player List'!Z$2:Z$1737),0)</f>
        <v>0</v>
      </c>
      <c r="O20" s="1">
        <f>IFERROR(AVERAGEIF('Full Player List'!$C$2:$C$1737, $C20, 'Full Player List'!AA$2:AA$1737),0)</f>
        <v>16.350000000000001</v>
      </c>
      <c r="P20" s="1">
        <f>IFERROR(AVERAGEIF('Full Player List'!$C$2:$C$1737, $C20, 'Full Player List'!AB$2:AB$1737),0)</f>
        <v>18.5</v>
      </c>
      <c r="Q20" s="1">
        <f>IFERROR(AVERAGEIF('Full Player List'!$C$2:$C$1737, $C20, 'Full Player List'!AC$2:AC$1737),0)</f>
        <v>2</v>
      </c>
      <c r="R20" s="1">
        <f>IFERROR(AVERAGEIF('Full Player List'!$C$2:$C$1737, $C20, 'Full Player List'!AD$2:AD$1737),0)</f>
        <v>0</v>
      </c>
      <c r="S20" s="1">
        <f>IFERROR(AVERAGEIF('Full Player List'!$C$2:$C$1737, $C20, 'Full Player List'!AE$2:AE$1737),0)</f>
        <v>32</v>
      </c>
      <c r="T20" s="1">
        <f>IFERROR(AVERAGEIF('Full Player List'!$C$2:$C$1737, $C20, 'Full Player List'!AF$2:AF$1737),0)</f>
        <v>0</v>
      </c>
      <c r="U20" s="1">
        <f>IFERROR(AVERAGEIF('Full Player List'!$C$2:$C$1737, $C20, 'Full Player List'!AG$2:AG$1737),0)</f>
        <v>0</v>
      </c>
      <c r="V20" s="1">
        <f>IFERROR(AVERAGEIF('Full Player List'!$C$2:$C$1737, $C20, 'Full Player List'!AH$2:AH$1737),0)</f>
        <v>0</v>
      </c>
      <c r="W20" s="1">
        <f>IFERROR(AVERAGEIF('Full Player List'!$C$2:$C$1737, $C20, 'Full Player List'!AI$2:AI$1737),0)</f>
        <v>0</v>
      </c>
      <c r="X20" s="1">
        <f>IFERROR(AVERAGEIF('Full Player List'!$C$2:$C$1737, $C20, 'Full Player List'!AJ$2:AJ$1737),0)</f>
        <v>0</v>
      </c>
      <c r="Y20" s="1">
        <f>IFERROR(AVERAGEIF('Full Player List'!$C$2:$C$1737, $C20, 'Full Player List'!AK$2:AK$1737),0)</f>
        <v>0</v>
      </c>
      <c r="Z20" s="1">
        <f>IFERROR(AVERAGEIF('Full Player List'!$C$2:$C$1737, $C20, 'Full Player List'!AL$2:AL$1737),0)</f>
        <v>0</v>
      </c>
      <c r="AA20" s="1">
        <f>IFERROR(AVERAGEIF('Full Player List'!$C$2:$C$1737, $C20, 'Full Player List'!AM$2:AM$1737),0)</f>
        <v>0</v>
      </c>
    </row>
    <row r="21" spans="1:27" x14ac:dyDescent="0.3">
      <c r="A21">
        <v>337156</v>
      </c>
      <c r="B21" t="s">
        <v>50</v>
      </c>
      <c r="C21" t="s">
        <v>628</v>
      </c>
      <c r="G21" s="1">
        <f>IFERROR(AVERAGEIF('Full Player List'!$C$2:$C$1737, $C21, 'Full Player List'!S$2:S$1737),0)</f>
        <v>3.6</v>
      </c>
      <c r="H21" s="1">
        <f>IFERROR(AVERAGEIF('Full Player List'!$C$2:$C$1737, $C21, 'Full Player List'!T$2:T$1737),0)</f>
        <v>0</v>
      </c>
      <c r="I21" s="1">
        <f>IFERROR(AVERAGEIF('Full Player List'!$C$2:$C$1737, $C21, 'Full Player List'!U$2:U$1737),0)</f>
        <v>0.4</v>
      </c>
      <c r="J21" s="1">
        <f>IFERROR(AVERAGEIF('Full Player List'!$C$2:$C$1737, $C21, 'Full Player List'!V$2:V$1737),0)</f>
        <v>14.2</v>
      </c>
      <c r="K21" s="1">
        <f>IFERROR(AVERAGEIF('Full Player List'!$C$2:$C$1737, $C21, 'Full Player List'!W$2:W$1737),0)</f>
        <v>18.8</v>
      </c>
      <c r="L21" s="1">
        <f>IFERROR(AVERAGEIF('Full Player List'!$C$2:$C$1737, $C21, 'Full Player List'!X$2:X$1737),0)</f>
        <v>1.7</v>
      </c>
      <c r="M21" s="1">
        <f>IFERROR(AVERAGEIF('Full Player List'!$C$2:$C$1737, $C21, 'Full Player List'!Y$2:Y$1737),0)</f>
        <v>0</v>
      </c>
      <c r="N21" s="1">
        <f>IFERROR(AVERAGEIF('Full Player List'!$C$2:$C$1737, $C21, 'Full Player List'!Z$2:Z$1737),0)</f>
        <v>0</v>
      </c>
      <c r="O21" s="1">
        <f>IFERROR(AVERAGEIF('Full Player List'!$C$2:$C$1737, $C21, 'Full Player List'!AA$2:AA$1737),0)</f>
        <v>0</v>
      </c>
      <c r="P21" s="1">
        <f>IFERROR(AVERAGEIF('Full Player List'!$C$2:$C$1737, $C21, 'Full Player List'!AB$2:AB$1737),0)</f>
        <v>0</v>
      </c>
      <c r="Q21" s="1">
        <f>IFERROR(AVERAGEIF('Full Player List'!$C$2:$C$1737, $C21, 'Full Player List'!AC$2:AC$1737),0)</f>
        <v>0</v>
      </c>
      <c r="R21" s="1">
        <f>IFERROR(AVERAGEIF('Full Player List'!$C$2:$C$1737, $C21, 'Full Player List'!AD$2:AD$1737),0)</f>
        <v>0</v>
      </c>
      <c r="S21" s="1">
        <f>IFERROR(AVERAGEIF('Full Player List'!$C$2:$C$1737, $C21, 'Full Player List'!AE$2:AE$1737),0)</f>
        <v>0</v>
      </c>
      <c r="T21" s="1">
        <f>IFERROR(AVERAGEIF('Full Player List'!$C$2:$C$1737, $C21, 'Full Player List'!AF$2:AF$1737),0)</f>
        <v>0</v>
      </c>
      <c r="U21" s="1">
        <f>IFERROR(AVERAGEIF('Full Player List'!$C$2:$C$1737, $C21, 'Full Player List'!AG$2:AG$1737),0)</f>
        <v>0</v>
      </c>
      <c r="V21" s="1">
        <f>IFERROR(AVERAGEIF('Full Player List'!$C$2:$C$1737, $C21, 'Full Player List'!AH$2:AH$1737),0)</f>
        <v>0</v>
      </c>
      <c r="W21" s="1">
        <f>IFERROR(AVERAGEIF('Full Player List'!$C$2:$C$1737, $C21, 'Full Player List'!AI$2:AI$1737),0)</f>
        <v>0</v>
      </c>
      <c r="X21" s="1">
        <f>IFERROR(AVERAGEIF('Full Player List'!$C$2:$C$1737, $C21, 'Full Player List'!AJ$2:AJ$1737),0)</f>
        <v>0</v>
      </c>
      <c r="Y21" s="1">
        <f>IFERROR(AVERAGEIF('Full Player List'!$C$2:$C$1737, $C21, 'Full Player List'!AK$2:AK$1737),0)</f>
        <v>0</v>
      </c>
      <c r="Z21" s="1">
        <f>IFERROR(AVERAGEIF('Full Player List'!$C$2:$C$1737, $C21, 'Full Player List'!AL$2:AL$1737),0)</f>
        <v>0</v>
      </c>
      <c r="AA21" s="1">
        <f>IFERROR(AVERAGEIF('Full Player List'!$C$2:$C$1737, $C21, 'Full Player List'!AM$2:AM$1737),0)</f>
        <v>0</v>
      </c>
    </row>
    <row r="22" spans="1:27" x14ac:dyDescent="0.3">
      <c r="A22">
        <v>337584</v>
      </c>
      <c r="B22" t="s">
        <v>50</v>
      </c>
      <c r="C22" t="s">
        <v>633</v>
      </c>
      <c r="G22" s="1">
        <f>IFERROR(AVERAGEIF('Full Player List'!$C$2:$C$1737, $C22, 'Full Player List'!S$2:S$1737),0)</f>
        <v>4.25</v>
      </c>
      <c r="H22" s="1">
        <f>IFERROR(AVERAGEIF('Full Player List'!$C$2:$C$1737, $C22, 'Full Player List'!T$2:T$1737),0)</f>
        <v>0.5</v>
      </c>
      <c r="I22" s="1">
        <f>IFERROR(AVERAGEIF('Full Player List'!$C$2:$C$1737, $C22, 'Full Player List'!U$2:U$1737),0)</f>
        <v>0.875</v>
      </c>
      <c r="J22" s="1">
        <f>IFERROR(AVERAGEIF('Full Player List'!$C$2:$C$1737, $C22, 'Full Player List'!V$2:V$1737),0)</f>
        <v>10</v>
      </c>
      <c r="K22" s="1">
        <f>IFERROR(AVERAGEIF('Full Player List'!$C$2:$C$1737, $C22, 'Full Player List'!W$2:W$1737),0)</f>
        <v>15</v>
      </c>
      <c r="L22" s="1">
        <f>IFERROR(AVERAGEIF('Full Player List'!$C$2:$C$1737, $C22, 'Full Player List'!X$2:X$1737),0)</f>
        <v>1.875</v>
      </c>
      <c r="M22" s="1">
        <f>IFERROR(AVERAGEIF('Full Player List'!$C$2:$C$1737, $C22, 'Full Player List'!Y$2:Y$1737),0)</f>
        <v>1.6666666666666667</v>
      </c>
      <c r="N22" s="1">
        <f>IFERROR(AVERAGEIF('Full Player List'!$C$2:$C$1737, $C22, 'Full Player List'!Z$2:Z$1737),0)</f>
        <v>0.75</v>
      </c>
      <c r="O22" s="1">
        <f>IFERROR(AVERAGEIF('Full Player List'!$C$2:$C$1737, $C22, 'Full Player List'!AA$2:AA$1737),0)</f>
        <v>16.5</v>
      </c>
      <c r="P22" s="1">
        <f>IFERROR(AVERAGEIF('Full Player List'!$C$2:$C$1737, $C22, 'Full Player List'!AB$2:AB$1737),0)</f>
        <v>20.5</v>
      </c>
      <c r="Q22" s="1">
        <f>IFERROR(AVERAGEIF('Full Player List'!$C$2:$C$1737, $C22, 'Full Player List'!AC$2:AC$1737),0)</f>
        <v>1.5</v>
      </c>
      <c r="R22" s="1">
        <f>IFERROR(AVERAGEIF('Full Player List'!$C$2:$C$1737, $C22, 'Full Player List'!AD$2:AD$1737),0)</f>
        <v>0</v>
      </c>
      <c r="S22" s="1">
        <f>IFERROR(AVERAGEIF('Full Player List'!$C$2:$C$1737, $C22, 'Full Player List'!AE$2:AE$1737),0)</f>
        <v>23.5</v>
      </c>
      <c r="T22" s="1">
        <f>IFERROR(AVERAGEIF('Full Player List'!$C$2:$C$1737, $C22, 'Full Player List'!AF$2:AF$1737),0)</f>
        <v>15.5</v>
      </c>
      <c r="U22" s="1">
        <f>IFERROR(AVERAGEIF('Full Player List'!$C$2:$C$1737, $C22, 'Full Player List'!AG$2:AG$1737),0)</f>
        <v>68</v>
      </c>
      <c r="V22" s="1">
        <f>IFERROR(AVERAGEIF('Full Player List'!$C$2:$C$1737, $C22, 'Full Player List'!AH$2:AH$1737),0)</f>
        <v>16</v>
      </c>
      <c r="W22" s="1">
        <f>IFERROR(AVERAGEIF('Full Player List'!$C$2:$C$1737, $C22, 'Full Player List'!AI$2:AI$1737),0)</f>
        <v>2</v>
      </c>
      <c r="X22" s="1">
        <f>IFERROR(AVERAGEIF('Full Player List'!$C$2:$C$1737, $C22, 'Full Player List'!AJ$2:AJ$1737),0)</f>
        <v>248</v>
      </c>
      <c r="Y22" s="1">
        <f>IFERROR(AVERAGEIF('Full Player List'!$C$2:$C$1737, $C22, 'Full Player List'!AK$2:AK$1737),0)</f>
        <v>1</v>
      </c>
      <c r="Z22" s="1">
        <f>IFERROR(AVERAGEIF('Full Player List'!$C$2:$C$1737, $C22, 'Full Player List'!AL$2:AL$1737),0)</f>
        <v>0</v>
      </c>
      <c r="AA22" s="1">
        <f>IFERROR(AVERAGEIF('Full Player List'!$C$2:$C$1737, $C22, 'Full Player List'!AM$2:AM$1737),0)</f>
        <v>0</v>
      </c>
    </row>
    <row r="23" spans="1:27" x14ac:dyDescent="0.3">
      <c r="A23">
        <v>350698</v>
      </c>
      <c r="B23" t="s">
        <v>50</v>
      </c>
      <c r="C23" t="s">
        <v>722</v>
      </c>
      <c r="G23" s="1">
        <f>IFERROR(AVERAGEIF('Full Player List'!$C$2:$C$1737, $C23, 'Full Player List'!S$2:S$1737),0)</f>
        <v>5.5</v>
      </c>
      <c r="H23" s="1">
        <f>IFERROR(AVERAGEIF('Full Player List'!$C$2:$C$1737, $C23, 'Full Player List'!T$2:T$1737),0)</f>
        <v>0.25</v>
      </c>
      <c r="I23" s="1">
        <f>IFERROR(AVERAGEIF('Full Player List'!$C$2:$C$1737, $C23, 'Full Player List'!U$2:U$1737),0)</f>
        <v>0</v>
      </c>
      <c r="J23" s="1">
        <f>IFERROR(AVERAGEIF('Full Player List'!$C$2:$C$1737, $C23, 'Full Player List'!V$2:V$1737),0)</f>
        <v>22.25</v>
      </c>
      <c r="K23" s="1">
        <f>IFERROR(AVERAGEIF('Full Player List'!$C$2:$C$1737, $C23, 'Full Player List'!W$2:W$1737),0)</f>
        <v>25.5</v>
      </c>
      <c r="L23" s="1">
        <f>IFERROR(AVERAGEIF('Full Player List'!$C$2:$C$1737, $C23, 'Full Player List'!X$2:X$1737),0)</f>
        <v>1.25</v>
      </c>
      <c r="M23" s="1">
        <f>IFERROR(AVERAGEIF('Full Player List'!$C$2:$C$1737, $C23, 'Full Player List'!Y$2:Y$1737),0)</f>
        <v>2.6666666666666665</v>
      </c>
      <c r="N23" s="1">
        <f>IFERROR(AVERAGEIF('Full Player List'!$C$2:$C$1737, $C23, 'Full Player List'!Z$2:Z$1737),0)</f>
        <v>0.25</v>
      </c>
      <c r="O23" s="1">
        <f>IFERROR(AVERAGEIF('Full Player List'!$C$2:$C$1737, $C23, 'Full Player List'!AA$2:AA$1737),0)</f>
        <v>0</v>
      </c>
      <c r="P23" s="1">
        <f>IFERROR(AVERAGEIF('Full Player List'!$C$2:$C$1737, $C23, 'Full Player List'!AB$2:AB$1737),0)</f>
        <v>0</v>
      </c>
      <c r="Q23" s="1">
        <f>IFERROR(AVERAGEIF('Full Player List'!$C$2:$C$1737, $C23, 'Full Player List'!AC$2:AC$1737),0)</f>
        <v>0</v>
      </c>
      <c r="R23" s="1">
        <f>IFERROR(AVERAGEIF('Full Player List'!$C$2:$C$1737, $C23, 'Full Player List'!AD$2:AD$1737),0)</f>
        <v>0</v>
      </c>
      <c r="S23" s="1">
        <f>IFERROR(AVERAGEIF('Full Player List'!$C$2:$C$1737, $C23, 'Full Player List'!AE$2:AE$1737),0)</f>
        <v>0</v>
      </c>
      <c r="T23" s="1">
        <f>IFERROR(AVERAGEIF('Full Player List'!$C$2:$C$1737, $C23, 'Full Player List'!AF$2:AF$1737),0)</f>
        <v>0</v>
      </c>
      <c r="U23" s="1">
        <f>IFERROR(AVERAGEIF('Full Player List'!$C$2:$C$1737, $C23, 'Full Player List'!AG$2:AG$1737),0)</f>
        <v>0</v>
      </c>
      <c r="V23" s="1">
        <f>IFERROR(AVERAGEIF('Full Player List'!$C$2:$C$1737, $C23, 'Full Player List'!AH$2:AH$1737),0)</f>
        <v>0</v>
      </c>
      <c r="W23" s="1">
        <f>IFERROR(AVERAGEIF('Full Player List'!$C$2:$C$1737, $C23, 'Full Player List'!AI$2:AI$1737),0)</f>
        <v>0</v>
      </c>
      <c r="X23" s="1">
        <f>IFERROR(AVERAGEIF('Full Player List'!$C$2:$C$1737, $C23, 'Full Player List'!AJ$2:AJ$1737),0)</f>
        <v>0</v>
      </c>
      <c r="Y23" s="1">
        <f>IFERROR(AVERAGEIF('Full Player List'!$C$2:$C$1737, $C23, 'Full Player List'!AK$2:AK$1737),0)</f>
        <v>0</v>
      </c>
      <c r="Z23" s="1">
        <f>IFERROR(AVERAGEIF('Full Player List'!$C$2:$C$1737, $C23, 'Full Player List'!AL$2:AL$1737),0)</f>
        <v>0</v>
      </c>
      <c r="AA23" s="1">
        <f>IFERROR(AVERAGEIF('Full Player List'!$C$2:$C$1737, $C23, 'Full Player List'!AM$2:AM$1737),0)</f>
        <v>0</v>
      </c>
    </row>
    <row r="24" spans="1:27" x14ac:dyDescent="0.3">
      <c r="A24">
        <v>353353</v>
      </c>
      <c r="B24" t="s">
        <v>50</v>
      </c>
      <c r="C24" t="s">
        <v>745</v>
      </c>
      <c r="G24" s="1">
        <f>IFERROR(AVERAGEIF('Full Player List'!$C$2:$C$1737, $C24, 'Full Player List'!S$2:S$1737),0)</f>
        <v>0</v>
      </c>
      <c r="H24" s="1">
        <f>IFERROR(AVERAGEIF('Full Player List'!$C$2:$C$1737, $C24, 'Full Player List'!T$2:T$1737),0)</f>
        <v>0</v>
      </c>
      <c r="I24" s="1">
        <f>IFERROR(AVERAGEIF('Full Player List'!$C$2:$C$1737, $C24, 'Full Player List'!U$2:U$1737),0)</f>
        <v>0.33333333333333331</v>
      </c>
      <c r="J24" s="1">
        <f>IFERROR(AVERAGEIF('Full Player List'!$C$2:$C$1737, $C24, 'Full Player List'!V$2:V$1737),0)</f>
        <v>4.333333333333333</v>
      </c>
      <c r="K24" s="1">
        <f>IFERROR(AVERAGEIF('Full Player List'!$C$2:$C$1737, $C24, 'Full Player List'!W$2:W$1737),0)</f>
        <v>4.333333333333333</v>
      </c>
      <c r="L24" s="1">
        <f>IFERROR(AVERAGEIF('Full Player List'!$C$2:$C$1737, $C24, 'Full Player List'!X$2:X$1737),0)</f>
        <v>1.6666666666666667</v>
      </c>
      <c r="M24" s="1">
        <f>IFERROR(AVERAGEIF('Full Player List'!$C$2:$C$1737, $C24, 'Full Player List'!Y$2:Y$1737),0)</f>
        <v>2</v>
      </c>
      <c r="N24" s="1">
        <f>IFERROR(AVERAGEIF('Full Player List'!$C$2:$C$1737, $C24, 'Full Player List'!Z$2:Z$1737),0)</f>
        <v>0</v>
      </c>
      <c r="O24" s="1">
        <f>IFERROR(AVERAGEIF('Full Player List'!$C$2:$C$1737, $C24, 'Full Player List'!AA$2:AA$1737),0)</f>
        <v>0</v>
      </c>
      <c r="P24" s="1">
        <f>IFERROR(AVERAGEIF('Full Player List'!$C$2:$C$1737, $C24, 'Full Player List'!AB$2:AB$1737),0)</f>
        <v>0</v>
      </c>
      <c r="Q24" s="1">
        <f>IFERROR(AVERAGEIF('Full Player List'!$C$2:$C$1737, $C24, 'Full Player List'!AC$2:AC$1737),0)</f>
        <v>0</v>
      </c>
      <c r="R24" s="1">
        <f>IFERROR(AVERAGEIF('Full Player List'!$C$2:$C$1737, $C24, 'Full Player List'!AD$2:AD$1737),0)</f>
        <v>0</v>
      </c>
      <c r="S24" s="1">
        <f>IFERROR(AVERAGEIF('Full Player List'!$C$2:$C$1737, $C24, 'Full Player List'!AE$2:AE$1737),0)</f>
        <v>0</v>
      </c>
      <c r="T24" s="1">
        <f>IFERROR(AVERAGEIF('Full Player List'!$C$2:$C$1737, $C24, 'Full Player List'!AF$2:AF$1737),0)</f>
        <v>0</v>
      </c>
      <c r="U24" s="1">
        <f>IFERROR(AVERAGEIF('Full Player List'!$C$2:$C$1737, $C24, 'Full Player List'!AG$2:AG$1737),0)</f>
        <v>0</v>
      </c>
      <c r="V24" s="1">
        <f>IFERROR(AVERAGEIF('Full Player List'!$C$2:$C$1737, $C24, 'Full Player List'!AH$2:AH$1737),0)</f>
        <v>0</v>
      </c>
      <c r="W24" s="1">
        <f>IFERROR(AVERAGEIF('Full Player List'!$C$2:$C$1737, $C24, 'Full Player List'!AI$2:AI$1737),0)</f>
        <v>0</v>
      </c>
      <c r="X24" s="1">
        <f>IFERROR(AVERAGEIF('Full Player List'!$C$2:$C$1737, $C24, 'Full Player List'!AJ$2:AJ$1737),0)</f>
        <v>0</v>
      </c>
      <c r="Y24" s="1">
        <f>IFERROR(AVERAGEIF('Full Player List'!$C$2:$C$1737, $C24, 'Full Player List'!AK$2:AK$1737),0)</f>
        <v>0</v>
      </c>
      <c r="Z24" s="1">
        <f>IFERROR(AVERAGEIF('Full Player List'!$C$2:$C$1737, $C24, 'Full Player List'!AL$2:AL$1737),0)</f>
        <v>0</v>
      </c>
      <c r="AA24" s="1">
        <f>IFERROR(AVERAGEIF('Full Player List'!$C$2:$C$1737, $C24, 'Full Player List'!AM$2:AM$1737),0)</f>
        <v>0</v>
      </c>
    </row>
    <row r="25" spans="1:27" x14ac:dyDescent="0.3">
      <c r="A25">
        <v>325391</v>
      </c>
      <c r="B25" t="s">
        <v>50</v>
      </c>
      <c r="C25" t="s">
        <v>518</v>
      </c>
      <c r="G25" s="1">
        <f>IFERROR(AVERAGEIF('Full Player List'!$C$2:$C$1737, $C25, 'Full Player List'!S$2:S$1737),0)</f>
        <v>4</v>
      </c>
      <c r="H25" s="1">
        <f>IFERROR(AVERAGEIF('Full Player List'!$C$2:$C$1737, $C25, 'Full Player List'!T$2:T$1737),0)</f>
        <v>0.2</v>
      </c>
      <c r="I25" s="1">
        <f>IFERROR(AVERAGEIF('Full Player List'!$C$2:$C$1737, $C25, 'Full Player List'!U$2:U$1737),0)</f>
        <v>0.1</v>
      </c>
      <c r="J25" s="1">
        <f>IFERROR(AVERAGEIF('Full Player List'!$C$2:$C$1737, $C25, 'Full Player List'!V$2:V$1737),0)</f>
        <v>19.2</v>
      </c>
      <c r="K25" s="1">
        <f>IFERROR(AVERAGEIF('Full Player List'!$C$2:$C$1737, $C25, 'Full Player List'!W$2:W$1737),0)</f>
        <v>28.4</v>
      </c>
      <c r="L25" s="1">
        <f>IFERROR(AVERAGEIF('Full Player List'!$C$2:$C$1737, $C25, 'Full Player List'!X$2:X$1737),0)</f>
        <v>1.2</v>
      </c>
      <c r="M25" s="1">
        <f>IFERROR(AVERAGEIF('Full Player List'!$C$2:$C$1737, $C25, 'Full Player List'!Y$2:Y$1737),0)</f>
        <v>1</v>
      </c>
      <c r="N25" s="1">
        <f>IFERROR(AVERAGEIF('Full Player List'!$C$2:$C$1737, $C25, 'Full Player List'!Z$2:Z$1737),0)</f>
        <v>0</v>
      </c>
      <c r="O25" s="1">
        <f>IFERROR(AVERAGEIF('Full Player List'!$C$2:$C$1737, $C25, 'Full Player List'!AA$2:AA$1737),0)</f>
        <v>0</v>
      </c>
      <c r="P25" s="1">
        <f>IFERROR(AVERAGEIF('Full Player List'!$C$2:$C$1737, $C25, 'Full Player List'!AB$2:AB$1737),0)</f>
        <v>0</v>
      </c>
      <c r="Q25" s="1">
        <f>IFERROR(AVERAGEIF('Full Player List'!$C$2:$C$1737, $C25, 'Full Player List'!AC$2:AC$1737),0)</f>
        <v>0</v>
      </c>
      <c r="R25" s="1">
        <f>IFERROR(AVERAGEIF('Full Player List'!$C$2:$C$1737, $C25, 'Full Player List'!AD$2:AD$1737),0)</f>
        <v>0</v>
      </c>
      <c r="S25" s="1">
        <f>IFERROR(AVERAGEIF('Full Player List'!$C$2:$C$1737, $C25, 'Full Player List'!AE$2:AE$1737),0)</f>
        <v>0</v>
      </c>
      <c r="T25" s="1">
        <f>IFERROR(AVERAGEIF('Full Player List'!$C$2:$C$1737, $C25, 'Full Player List'!AF$2:AF$1737),0)</f>
        <v>0</v>
      </c>
      <c r="U25" s="1">
        <f>IFERROR(AVERAGEIF('Full Player List'!$C$2:$C$1737, $C25, 'Full Player List'!AG$2:AG$1737),0)</f>
        <v>0</v>
      </c>
      <c r="V25" s="1">
        <f>IFERROR(AVERAGEIF('Full Player List'!$C$2:$C$1737, $C25, 'Full Player List'!AH$2:AH$1737),0)</f>
        <v>0</v>
      </c>
      <c r="W25" s="1">
        <f>IFERROR(AVERAGEIF('Full Player List'!$C$2:$C$1737, $C25, 'Full Player List'!AI$2:AI$1737),0)</f>
        <v>0</v>
      </c>
      <c r="X25" s="1">
        <f>IFERROR(AVERAGEIF('Full Player List'!$C$2:$C$1737, $C25, 'Full Player List'!AJ$2:AJ$1737),0)</f>
        <v>0</v>
      </c>
      <c r="Y25" s="1">
        <f>IFERROR(AVERAGEIF('Full Player List'!$C$2:$C$1737, $C25, 'Full Player List'!AK$2:AK$1737),0)</f>
        <v>0</v>
      </c>
      <c r="Z25" s="1">
        <f>IFERROR(AVERAGEIF('Full Player List'!$C$2:$C$1737, $C25, 'Full Player List'!AL$2:AL$1737),0)</f>
        <v>0</v>
      </c>
      <c r="AA25" s="1">
        <f>IFERROR(AVERAGEIF('Full Player List'!$C$2:$C$1737, $C25, 'Full Player List'!AM$2:AM$1737),0)</f>
        <v>0</v>
      </c>
    </row>
    <row r="26" spans="1:27" x14ac:dyDescent="0.3">
      <c r="A26">
        <v>325454</v>
      </c>
      <c r="B26" t="s">
        <v>50</v>
      </c>
      <c r="C26" t="s">
        <v>522</v>
      </c>
      <c r="G26" s="1">
        <f>IFERROR(AVERAGEIF('Full Player List'!$C$2:$C$1737, $C26, 'Full Player List'!S$2:S$1737),0)</f>
        <v>2.4</v>
      </c>
      <c r="H26" s="1">
        <f>IFERROR(AVERAGEIF('Full Player List'!$C$2:$C$1737, $C26, 'Full Player List'!T$2:T$1737),0)</f>
        <v>0</v>
      </c>
      <c r="I26" s="1">
        <f>IFERROR(AVERAGEIF('Full Player List'!$C$2:$C$1737, $C26, 'Full Player List'!U$2:U$1737),0)</f>
        <v>0.2</v>
      </c>
      <c r="J26" s="1">
        <f>IFERROR(AVERAGEIF('Full Player List'!$C$2:$C$1737, $C26, 'Full Player List'!V$2:V$1737),0)</f>
        <v>13</v>
      </c>
      <c r="K26" s="1">
        <f>IFERROR(AVERAGEIF('Full Player List'!$C$2:$C$1737, $C26, 'Full Player List'!W$2:W$1737),0)</f>
        <v>19.2</v>
      </c>
      <c r="L26" s="1">
        <f>IFERROR(AVERAGEIF('Full Player List'!$C$2:$C$1737, $C26, 'Full Player List'!X$2:X$1737),0)</f>
        <v>1.1000000000000001</v>
      </c>
      <c r="M26" s="1">
        <f>IFERROR(AVERAGEIF('Full Player List'!$C$2:$C$1737, $C26, 'Full Player List'!Y$2:Y$1737),0)</f>
        <v>1</v>
      </c>
      <c r="N26" s="1">
        <f>IFERROR(AVERAGEIF('Full Player List'!$C$2:$C$1737, $C26, 'Full Player List'!Z$2:Z$1737),0)</f>
        <v>0</v>
      </c>
      <c r="O26" s="1">
        <f>IFERROR(AVERAGEIF('Full Player List'!$C$2:$C$1737, $C26, 'Full Player List'!AA$2:AA$1737),0)</f>
        <v>0</v>
      </c>
      <c r="P26" s="1">
        <f>IFERROR(AVERAGEIF('Full Player List'!$C$2:$C$1737, $C26, 'Full Player List'!AB$2:AB$1737),0)</f>
        <v>0</v>
      </c>
      <c r="Q26" s="1">
        <f>IFERROR(AVERAGEIF('Full Player List'!$C$2:$C$1737, $C26, 'Full Player List'!AC$2:AC$1737),0)</f>
        <v>0</v>
      </c>
      <c r="R26" s="1">
        <f>IFERROR(AVERAGEIF('Full Player List'!$C$2:$C$1737, $C26, 'Full Player List'!AD$2:AD$1737),0)</f>
        <v>0</v>
      </c>
      <c r="S26" s="1">
        <f>IFERROR(AVERAGEIF('Full Player List'!$C$2:$C$1737, $C26, 'Full Player List'!AE$2:AE$1737),0)</f>
        <v>0</v>
      </c>
      <c r="T26" s="1">
        <f>IFERROR(AVERAGEIF('Full Player List'!$C$2:$C$1737, $C26, 'Full Player List'!AF$2:AF$1737),0)</f>
        <v>0</v>
      </c>
      <c r="U26" s="1">
        <f>IFERROR(AVERAGEIF('Full Player List'!$C$2:$C$1737, $C26, 'Full Player List'!AG$2:AG$1737),0)</f>
        <v>0</v>
      </c>
      <c r="V26" s="1">
        <f>IFERROR(AVERAGEIF('Full Player List'!$C$2:$C$1737, $C26, 'Full Player List'!AH$2:AH$1737),0)</f>
        <v>0</v>
      </c>
      <c r="W26" s="1">
        <f>IFERROR(AVERAGEIF('Full Player List'!$C$2:$C$1737, $C26, 'Full Player List'!AI$2:AI$1737),0)</f>
        <v>0</v>
      </c>
      <c r="X26" s="1">
        <f>IFERROR(AVERAGEIF('Full Player List'!$C$2:$C$1737, $C26, 'Full Player List'!AJ$2:AJ$1737),0)</f>
        <v>0</v>
      </c>
      <c r="Y26" s="1">
        <f>IFERROR(AVERAGEIF('Full Player List'!$C$2:$C$1737, $C26, 'Full Player List'!AK$2:AK$1737),0)</f>
        <v>0</v>
      </c>
      <c r="Z26" s="1">
        <f>IFERROR(AVERAGEIF('Full Player List'!$C$2:$C$1737, $C26, 'Full Player List'!AL$2:AL$1737),0)</f>
        <v>0</v>
      </c>
      <c r="AA26" s="1">
        <f>IFERROR(AVERAGEIF('Full Player List'!$C$2:$C$1737, $C26, 'Full Player List'!AM$2:AM$1737),0)</f>
        <v>0</v>
      </c>
    </row>
    <row r="27" spans="1:27" x14ac:dyDescent="0.3">
      <c r="A27">
        <v>360521</v>
      </c>
      <c r="B27" t="s">
        <v>50</v>
      </c>
      <c r="C27" t="s">
        <v>771</v>
      </c>
      <c r="G27" s="1">
        <f>IFERROR(AVERAGEIF('Full Player List'!$C$2:$C$1737, $C27, 'Full Player List'!S$2:S$1737),0)</f>
        <v>0</v>
      </c>
      <c r="H27" s="1">
        <f>IFERROR(AVERAGEIF('Full Player List'!$C$2:$C$1737, $C27, 'Full Player List'!T$2:T$1737),0)</f>
        <v>0</v>
      </c>
      <c r="I27" s="1">
        <f>IFERROR(AVERAGEIF('Full Player List'!$C$2:$C$1737, $C27, 'Full Player List'!U$2:U$1737),0)</f>
        <v>0</v>
      </c>
      <c r="J27" s="1">
        <f>IFERROR(AVERAGEIF('Full Player List'!$C$2:$C$1737, $C27, 'Full Player List'!V$2:V$1737),0)</f>
        <v>2.5</v>
      </c>
      <c r="K27" s="1">
        <f>IFERROR(AVERAGEIF('Full Player List'!$C$2:$C$1737, $C27, 'Full Player List'!W$2:W$1737),0)</f>
        <v>3</v>
      </c>
      <c r="L27" s="1">
        <f>IFERROR(AVERAGEIF('Full Player List'!$C$2:$C$1737, $C27, 'Full Player List'!X$2:X$1737),0)</f>
        <v>0</v>
      </c>
      <c r="M27" s="1">
        <f>IFERROR(AVERAGEIF('Full Player List'!$C$2:$C$1737, $C27, 'Full Player List'!Y$2:Y$1737),0)</f>
        <v>1.5</v>
      </c>
      <c r="N27" s="1">
        <f>IFERROR(AVERAGEIF('Full Player List'!$C$2:$C$1737, $C27, 'Full Player List'!Z$2:Z$1737),0)</f>
        <v>0</v>
      </c>
      <c r="O27" s="1">
        <f>IFERROR(AVERAGEIF('Full Player List'!$C$2:$C$1737, $C27, 'Full Player List'!AA$2:AA$1737),0)</f>
        <v>0</v>
      </c>
      <c r="P27" s="1">
        <f>IFERROR(AVERAGEIF('Full Player List'!$C$2:$C$1737, $C27, 'Full Player List'!AB$2:AB$1737),0)</f>
        <v>0</v>
      </c>
      <c r="Q27" s="1">
        <f>IFERROR(AVERAGEIF('Full Player List'!$C$2:$C$1737, $C27, 'Full Player List'!AC$2:AC$1737),0)</f>
        <v>0</v>
      </c>
      <c r="R27" s="1">
        <f>IFERROR(AVERAGEIF('Full Player List'!$C$2:$C$1737, $C27, 'Full Player List'!AD$2:AD$1737),0)</f>
        <v>0</v>
      </c>
      <c r="S27" s="1">
        <f>IFERROR(AVERAGEIF('Full Player List'!$C$2:$C$1737, $C27, 'Full Player List'!AE$2:AE$1737),0)</f>
        <v>0</v>
      </c>
      <c r="T27" s="1">
        <f>IFERROR(AVERAGEIF('Full Player List'!$C$2:$C$1737, $C27, 'Full Player List'!AF$2:AF$1737),0)</f>
        <v>0</v>
      </c>
      <c r="U27" s="1">
        <f>IFERROR(AVERAGEIF('Full Player List'!$C$2:$C$1737, $C27, 'Full Player List'!AG$2:AG$1737),0)</f>
        <v>0</v>
      </c>
      <c r="V27" s="1">
        <f>IFERROR(AVERAGEIF('Full Player List'!$C$2:$C$1737, $C27, 'Full Player List'!AH$2:AH$1737),0)</f>
        <v>0</v>
      </c>
      <c r="W27" s="1">
        <f>IFERROR(AVERAGEIF('Full Player List'!$C$2:$C$1737, $C27, 'Full Player List'!AI$2:AI$1737),0)</f>
        <v>0</v>
      </c>
      <c r="X27" s="1">
        <f>IFERROR(AVERAGEIF('Full Player List'!$C$2:$C$1737, $C27, 'Full Player List'!AJ$2:AJ$1737),0)</f>
        <v>0</v>
      </c>
      <c r="Y27" s="1">
        <f>IFERROR(AVERAGEIF('Full Player List'!$C$2:$C$1737, $C27, 'Full Player List'!AK$2:AK$1737),0)</f>
        <v>0</v>
      </c>
      <c r="Z27" s="1">
        <f>IFERROR(AVERAGEIF('Full Player List'!$C$2:$C$1737, $C27, 'Full Player List'!AL$2:AL$1737),0)</f>
        <v>0</v>
      </c>
      <c r="AA27" s="1">
        <f>IFERROR(AVERAGEIF('Full Player List'!$C$2:$C$1737, $C27, 'Full Player List'!AM$2:AM$1737),0)</f>
        <v>0</v>
      </c>
    </row>
    <row r="28" spans="1:27" x14ac:dyDescent="0.3">
      <c r="A28">
        <v>361898</v>
      </c>
      <c r="B28" t="s">
        <v>50</v>
      </c>
      <c r="C28" t="s">
        <v>784</v>
      </c>
      <c r="G28" s="1">
        <f>IFERROR(AVERAGEIF('Full Player List'!$C$2:$C$1737, $C28, 'Full Player List'!S$2:S$1737),0)</f>
        <v>4</v>
      </c>
      <c r="H28" s="1">
        <f>IFERROR(AVERAGEIF('Full Player List'!$C$2:$C$1737, $C28, 'Full Player List'!T$2:T$1737),0)</f>
        <v>0</v>
      </c>
      <c r="I28" s="1">
        <f>IFERROR(AVERAGEIF('Full Player List'!$C$2:$C$1737, $C28, 'Full Player List'!U$2:U$1737),0)</f>
        <v>0.66666666666666663</v>
      </c>
      <c r="J28" s="1">
        <f>IFERROR(AVERAGEIF('Full Player List'!$C$2:$C$1737, $C28, 'Full Player List'!V$2:V$1737),0)</f>
        <v>17.666666666666668</v>
      </c>
      <c r="K28" s="1">
        <f>IFERROR(AVERAGEIF('Full Player List'!$C$2:$C$1737, $C28, 'Full Player List'!W$2:W$1737),0)</f>
        <v>26</v>
      </c>
      <c r="L28" s="1">
        <f>IFERROR(AVERAGEIF('Full Player List'!$C$2:$C$1737, $C28, 'Full Player List'!X$2:X$1737),0)</f>
        <v>0.66666666666666663</v>
      </c>
      <c r="M28" s="1">
        <f>IFERROR(AVERAGEIF('Full Player List'!$C$2:$C$1737, $C28, 'Full Player List'!Y$2:Y$1737),0)</f>
        <v>1</v>
      </c>
      <c r="N28" s="1">
        <f>IFERROR(AVERAGEIF('Full Player List'!$C$2:$C$1737, $C28, 'Full Player List'!Z$2:Z$1737),0)</f>
        <v>0</v>
      </c>
      <c r="O28" s="1">
        <f>IFERROR(AVERAGEIF('Full Player List'!$C$2:$C$1737, $C28, 'Full Player List'!AA$2:AA$1737),0)</f>
        <v>0</v>
      </c>
      <c r="P28" s="1">
        <f>IFERROR(AVERAGEIF('Full Player List'!$C$2:$C$1737, $C28, 'Full Player List'!AB$2:AB$1737),0)</f>
        <v>0</v>
      </c>
      <c r="Q28" s="1">
        <f>IFERROR(AVERAGEIF('Full Player List'!$C$2:$C$1737, $C28, 'Full Player List'!AC$2:AC$1737),0)</f>
        <v>0</v>
      </c>
      <c r="R28" s="1">
        <f>IFERROR(AVERAGEIF('Full Player List'!$C$2:$C$1737, $C28, 'Full Player List'!AD$2:AD$1737),0)</f>
        <v>0</v>
      </c>
      <c r="S28" s="1">
        <f>IFERROR(AVERAGEIF('Full Player List'!$C$2:$C$1737, $C28, 'Full Player List'!AE$2:AE$1737),0)</f>
        <v>0</v>
      </c>
      <c r="T28" s="1">
        <f>IFERROR(AVERAGEIF('Full Player List'!$C$2:$C$1737, $C28, 'Full Player List'!AF$2:AF$1737),0)</f>
        <v>0</v>
      </c>
      <c r="U28" s="1">
        <f>IFERROR(AVERAGEIF('Full Player List'!$C$2:$C$1737, $C28, 'Full Player List'!AG$2:AG$1737),0)</f>
        <v>0</v>
      </c>
      <c r="V28" s="1">
        <f>IFERROR(AVERAGEIF('Full Player List'!$C$2:$C$1737, $C28, 'Full Player List'!AH$2:AH$1737),0)</f>
        <v>0</v>
      </c>
      <c r="W28" s="1">
        <f>IFERROR(AVERAGEIF('Full Player List'!$C$2:$C$1737, $C28, 'Full Player List'!AI$2:AI$1737),0)</f>
        <v>0</v>
      </c>
      <c r="X28" s="1">
        <f>IFERROR(AVERAGEIF('Full Player List'!$C$2:$C$1737, $C28, 'Full Player List'!AJ$2:AJ$1737),0)</f>
        <v>0</v>
      </c>
      <c r="Y28" s="1">
        <f>IFERROR(AVERAGEIF('Full Player List'!$C$2:$C$1737, $C28, 'Full Player List'!AK$2:AK$1737),0)</f>
        <v>0</v>
      </c>
      <c r="Z28" s="1">
        <f>IFERROR(AVERAGEIF('Full Player List'!$C$2:$C$1737, $C28, 'Full Player List'!AL$2:AL$1737),0)</f>
        <v>0</v>
      </c>
      <c r="AA28" s="1">
        <f>IFERROR(AVERAGEIF('Full Player List'!$C$2:$C$1737, $C28, 'Full Player List'!AM$2:AM$1737),0)</f>
        <v>0</v>
      </c>
    </row>
    <row r="29" spans="1:27" x14ac:dyDescent="0.3">
      <c r="A29">
        <v>350479</v>
      </c>
      <c r="B29" t="s">
        <v>50</v>
      </c>
      <c r="C29" t="s">
        <v>711</v>
      </c>
      <c r="G29" s="1">
        <f>IFERROR(AVERAGEIF('Full Player List'!$C$2:$C$1737, $C29, 'Full Player List'!S$2:S$1737),0)</f>
        <v>5.5</v>
      </c>
      <c r="H29" s="1">
        <f>IFERROR(AVERAGEIF('Full Player List'!$C$2:$C$1737, $C29, 'Full Player List'!T$2:T$1737),0)</f>
        <v>0</v>
      </c>
      <c r="I29" s="1">
        <f>IFERROR(AVERAGEIF('Full Player List'!$C$2:$C$1737, $C29, 'Full Player List'!U$2:U$1737),0)</f>
        <v>0.5</v>
      </c>
      <c r="J29" s="1">
        <f>IFERROR(AVERAGEIF('Full Player List'!$C$2:$C$1737, $C29, 'Full Player List'!V$2:V$1737),0)</f>
        <v>31</v>
      </c>
      <c r="K29" s="1">
        <f>IFERROR(AVERAGEIF('Full Player List'!$C$2:$C$1737, $C29, 'Full Player List'!W$2:W$1737),0)</f>
        <v>41.25</v>
      </c>
      <c r="L29" s="1">
        <f>IFERROR(AVERAGEIF('Full Player List'!$C$2:$C$1737, $C29, 'Full Player List'!X$2:X$1737),0)</f>
        <v>2.25</v>
      </c>
      <c r="M29" s="1">
        <f>IFERROR(AVERAGEIF('Full Player List'!$C$2:$C$1737, $C29, 'Full Player List'!Y$2:Y$1737),0)</f>
        <v>3</v>
      </c>
      <c r="N29" s="1">
        <f>IFERROR(AVERAGEIF('Full Player List'!$C$2:$C$1737, $C29, 'Full Player List'!Z$2:Z$1737),0)</f>
        <v>0.25</v>
      </c>
      <c r="O29" s="1">
        <f>IFERROR(AVERAGEIF('Full Player List'!$C$2:$C$1737, $C29, 'Full Player List'!AA$2:AA$1737),0)</f>
        <v>0</v>
      </c>
      <c r="P29" s="1">
        <f>IFERROR(AVERAGEIF('Full Player List'!$C$2:$C$1737, $C29, 'Full Player List'!AB$2:AB$1737),0)</f>
        <v>0</v>
      </c>
      <c r="Q29" s="1">
        <f>IFERROR(AVERAGEIF('Full Player List'!$C$2:$C$1737, $C29, 'Full Player List'!AC$2:AC$1737),0)</f>
        <v>1</v>
      </c>
      <c r="R29" s="1">
        <f>IFERROR(AVERAGEIF('Full Player List'!$C$2:$C$1737, $C29, 'Full Player List'!AD$2:AD$1737),0)</f>
        <v>0</v>
      </c>
      <c r="S29" s="1">
        <f>IFERROR(AVERAGEIF('Full Player List'!$C$2:$C$1737, $C29, 'Full Player List'!AE$2:AE$1737),0)</f>
        <v>0</v>
      </c>
      <c r="T29" s="1">
        <f>IFERROR(AVERAGEIF('Full Player List'!$C$2:$C$1737, $C29, 'Full Player List'!AF$2:AF$1737),0)</f>
        <v>6</v>
      </c>
      <c r="U29" s="1">
        <f>IFERROR(AVERAGEIF('Full Player List'!$C$2:$C$1737, $C29, 'Full Player List'!AG$2:AG$1737),0)</f>
        <v>40</v>
      </c>
      <c r="V29" s="1">
        <f>IFERROR(AVERAGEIF('Full Player List'!$C$2:$C$1737, $C29, 'Full Player List'!AH$2:AH$1737),0)</f>
        <v>14.333333333333334</v>
      </c>
      <c r="W29" s="1">
        <f>IFERROR(AVERAGEIF('Full Player List'!$C$2:$C$1737, $C29, 'Full Player List'!AI$2:AI$1737),0)</f>
        <v>0.33333333333333331</v>
      </c>
      <c r="X29" s="1">
        <f>IFERROR(AVERAGEIF('Full Player List'!$C$2:$C$1737, $C29, 'Full Player List'!AJ$2:AJ$1737),0)</f>
        <v>98</v>
      </c>
      <c r="Y29" s="1">
        <f>IFERROR(AVERAGEIF('Full Player List'!$C$2:$C$1737, $C29, 'Full Player List'!AK$2:AK$1737),0)</f>
        <v>2</v>
      </c>
      <c r="Z29" s="1">
        <f>IFERROR(AVERAGEIF('Full Player List'!$C$2:$C$1737, $C29, 'Full Player List'!AL$2:AL$1737),0)</f>
        <v>0</v>
      </c>
      <c r="AA29" s="1">
        <f>IFERROR(AVERAGEIF('Full Player List'!$C$2:$C$1737, $C29, 'Full Player List'!AM$2:AM$1737),0)</f>
        <v>0</v>
      </c>
    </row>
  </sheetData>
  <autoFilter ref="A1:Z22" xr:uid="{F5C17B4D-00D5-4B58-9110-5ACAE9F4498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3032-6AF8-4DA1-A8E0-ED377C602B8B}">
  <dimension ref="A1:AA19"/>
  <sheetViews>
    <sheetView zoomScale="59" workbookViewId="0">
      <selection activeCell="AB10" sqref="AB10"/>
    </sheetView>
  </sheetViews>
  <sheetFormatPr defaultRowHeight="14.4" x14ac:dyDescent="0.3"/>
  <cols>
    <col min="3" max="3" width="19.109375" bestFit="1" customWidth="1"/>
    <col min="19" max="19" width="15.2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</row>
    <row r="2" spans="1:27" x14ac:dyDescent="0.3">
      <c r="A2">
        <v>328168</v>
      </c>
      <c r="B2" t="s">
        <v>42</v>
      </c>
      <c r="C2" t="s">
        <v>581</v>
      </c>
      <c r="G2" s="1">
        <f>IFERROR(AVERAGEIF('Full Player List'!$C$2:$C$1737, $C2, 'Full Player List'!S$2:S$1737),0)</f>
        <v>3.2</v>
      </c>
      <c r="H2" s="1">
        <f>IFERROR(AVERAGEIF('Full Player List'!$C$2:$C$1737, $C2, 'Full Player List'!T$2:T$1737),0)</f>
        <v>0.6</v>
      </c>
      <c r="I2" s="1">
        <f>IFERROR(AVERAGEIF('Full Player List'!$C$2:$C$1737, $C2, 'Full Player List'!U$2:U$1737),0)</f>
        <v>0.1</v>
      </c>
      <c r="J2" s="1">
        <f>IFERROR(AVERAGEIF('Full Player List'!$C$2:$C$1737, $C2, 'Full Player List'!V$2:V$1737),0)</f>
        <v>33.799999999999997</v>
      </c>
      <c r="K2" s="1">
        <f>IFERROR(AVERAGEIF('Full Player List'!$C$2:$C$1737, $C2, 'Full Player List'!W$2:W$1737),0)</f>
        <v>49.2</v>
      </c>
      <c r="L2" s="1">
        <f>IFERROR(AVERAGEIF('Full Player List'!$C$2:$C$1737, $C2, 'Full Player List'!X$2:X$1737),0)</f>
        <v>1.9</v>
      </c>
      <c r="M2" s="1">
        <f>IFERROR(AVERAGEIF('Full Player List'!$C$2:$C$1737, $C2, 'Full Player List'!Y$2:Y$1737),0)</f>
        <v>1.6666666666666667</v>
      </c>
      <c r="N2" s="1">
        <f>IFERROR(AVERAGEIF('Full Player List'!$C$2:$C$1737, $C2, 'Full Player List'!Z$2:Z$1737),0)</f>
        <v>0.2</v>
      </c>
      <c r="O2" s="1">
        <f>IFERROR(AVERAGEIF('Full Player List'!$C$2:$C$1737, $C2, 'Full Player List'!AA$2:AA$1737),0)</f>
        <v>0</v>
      </c>
      <c r="P2" s="1">
        <f>IFERROR(AVERAGEIF('Full Player List'!$C$2:$C$1737, $C2, 'Full Player List'!AB$2:AB$1737),0)</f>
        <v>0</v>
      </c>
      <c r="Q2" s="1">
        <f>IFERROR(AVERAGEIF('Full Player List'!$C$2:$C$1737, $C2, 'Full Player List'!AC$2:AC$1737),0)</f>
        <v>0</v>
      </c>
      <c r="R2" s="1">
        <f>IFERROR(AVERAGEIF('Full Player List'!$C$2:$C$1737, $C2, 'Full Player List'!AD$2:AD$1737),0)</f>
        <v>0</v>
      </c>
      <c r="S2" s="1">
        <f>IFERROR(AVERAGEIF('Full Player List'!$C$2:$C$1737, $C2, 'Full Player List'!AE$2:AE$1737),0)</f>
        <v>0</v>
      </c>
      <c r="T2" s="1">
        <f>IFERROR(AVERAGEIF('Full Player List'!$C$2:$C$1737, $C2, 'Full Player List'!AF$2:AF$1737),0)</f>
        <v>9</v>
      </c>
      <c r="U2" s="1">
        <f>IFERROR(AVERAGEIF('Full Player List'!$C$2:$C$1737, $C2, 'Full Player List'!AG$2:AG$1737),0)</f>
        <v>0</v>
      </c>
      <c r="V2" s="1">
        <f>IFERROR(AVERAGEIF('Full Player List'!$C$2:$C$1737, $C2, 'Full Player List'!AH$2:AH$1737),0)</f>
        <v>1</v>
      </c>
      <c r="W2" s="1">
        <f>IFERROR(AVERAGEIF('Full Player List'!$C$2:$C$1737, $C2, 'Full Player List'!AI$2:AI$1737),0)</f>
        <v>0</v>
      </c>
      <c r="X2" s="1">
        <f>IFERROR(AVERAGEIF('Full Player List'!$C$2:$C$1737, $C2, 'Full Player List'!AJ$2:AJ$1737),0)</f>
        <v>9</v>
      </c>
      <c r="Y2" s="1">
        <f>IFERROR(AVERAGEIF('Full Player List'!$C$2:$C$1737, $C2, 'Full Player List'!AK$2:AK$1737),0)</f>
        <v>0</v>
      </c>
      <c r="Z2" s="1">
        <f>IFERROR(AVERAGEIF('Full Player List'!$C$2:$C$1737, $C2, 'Full Player List'!AL$2:AL$1737),0)</f>
        <v>0</v>
      </c>
      <c r="AA2" s="1">
        <f>IFERROR(AVERAGEIF('Full Player List'!$C$2:$C$1737, $C2, 'Full Player List'!AM$2:AM$1737),0)</f>
        <v>0</v>
      </c>
    </row>
    <row r="3" spans="1:27" x14ac:dyDescent="0.3">
      <c r="A3">
        <v>328254</v>
      </c>
      <c r="B3" t="s">
        <v>42</v>
      </c>
      <c r="C3" t="s">
        <v>587</v>
      </c>
      <c r="G3" s="1">
        <f>IFERROR(AVERAGEIF('Full Player List'!$C$2:$C$1737, $C3, 'Full Player List'!S$2:S$1737),0)</f>
        <v>1.2</v>
      </c>
      <c r="H3" s="1">
        <f>IFERROR(AVERAGEIF('Full Player List'!$C$2:$C$1737, $C3, 'Full Player List'!T$2:T$1737),0)</f>
        <v>0.2</v>
      </c>
      <c r="I3" s="1">
        <f>IFERROR(AVERAGEIF('Full Player List'!$C$2:$C$1737, $C3, 'Full Player List'!U$2:U$1737),0)</f>
        <v>0.2</v>
      </c>
      <c r="J3" s="1">
        <f>IFERROR(AVERAGEIF('Full Player List'!$C$2:$C$1737, $C3, 'Full Player List'!V$2:V$1737),0)</f>
        <v>24.8</v>
      </c>
      <c r="K3" s="1">
        <f>IFERROR(AVERAGEIF('Full Player List'!$C$2:$C$1737, $C3, 'Full Player List'!W$2:W$1737),0)</f>
        <v>33.200000000000003</v>
      </c>
      <c r="L3" s="1">
        <f>IFERROR(AVERAGEIF('Full Player List'!$C$2:$C$1737, $C3, 'Full Player List'!X$2:X$1737),0)</f>
        <v>0.9</v>
      </c>
      <c r="M3" s="1">
        <f>IFERROR(AVERAGEIF('Full Player List'!$C$2:$C$1737, $C3, 'Full Player List'!Y$2:Y$1737),0)</f>
        <v>1</v>
      </c>
      <c r="N3" s="1">
        <f>IFERROR(AVERAGEIF('Full Player List'!$C$2:$C$1737, $C3, 'Full Player List'!Z$2:Z$1737),0)</f>
        <v>0.4</v>
      </c>
      <c r="O3" s="1">
        <f>IFERROR(AVERAGEIF('Full Player List'!$C$2:$C$1737, $C3, 'Full Player List'!AA$2:AA$1737),0)</f>
        <v>0</v>
      </c>
      <c r="P3" s="1">
        <f>IFERROR(AVERAGEIF('Full Player List'!$C$2:$C$1737, $C3, 'Full Player List'!AB$2:AB$1737),0)</f>
        <v>0</v>
      </c>
      <c r="Q3" s="1">
        <f>IFERROR(AVERAGEIF('Full Player List'!$C$2:$C$1737, $C3, 'Full Player List'!AC$2:AC$1737),0)</f>
        <v>0</v>
      </c>
      <c r="R3" s="1">
        <f>IFERROR(AVERAGEIF('Full Player List'!$C$2:$C$1737, $C3, 'Full Player List'!AD$2:AD$1737),0)</f>
        <v>0</v>
      </c>
      <c r="S3" s="1">
        <f>IFERROR(AVERAGEIF('Full Player List'!$C$2:$C$1737, $C3, 'Full Player List'!AE$2:AE$1737),0)</f>
        <v>0</v>
      </c>
      <c r="T3" s="1">
        <f>IFERROR(AVERAGEIF('Full Player List'!$C$2:$C$1737, $C3, 'Full Player List'!AF$2:AF$1737),0)</f>
        <v>2</v>
      </c>
      <c r="U3" s="1">
        <f>IFERROR(AVERAGEIF('Full Player List'!$C$2:$C$1737, $C3, 'Full Player List'!AG$2:AG$1737),0)</f>
        <v>2</v>
      </c>
      <c r="V3" s="1">
        <f>IFERROR(AVERAGEIF('Full Player List'!$C$2:$C$1737, $C3, 'Full Player List'!AH$2:AH$1737),0)</f>
        <v>1</v>
      </c>
      <c r="W3" s="1">
        <f>IFERROR(AVERAGEIF('Full Player List'!$C$2:$C$1737, $C3, 'Full Player List'!AI$2:AI$1737),0)</f>
        <v>0</v>
      </c>
      <c r="X3" s="1">
        <f>IFERROR(AVERAGEIF('Full Player List'!$C$2:$C$1737, $C3, 'Full Player List'!AJ$2:AJ$1737),0)</f>
        <v>2</v>
      </c>
      <c r="Y3" s="1">
        <f>IFERROR(AVERAGEIF('Full Player List'!$C$2:$C$1737, $C3, 'Full Player List'!AK$2:AK$1737),0)</f>
        <v>0</v>
      </c>
      <c r="Z3" s="1">
        <f>IFERROR(AVERAGEIF('Full Player List'!$C$2:$C$1737, $C3, 'Full Player List'!AL$2:AL$1737),0)</f>
        <v>0</v>
      </c>
      <c r="AA3" s="1">
        <f>IFERROR(AVERAGEIF('Full Player List'!$C$2:$C$1737, $C3, 'Full Player List'!AM$2:AM$1737),0)</f>
        <v>0</v>
      </c>
    </row>
    <row r="4" spans="1:27" x14ac:dyDescent="0.3">
      <c r="A4">
        <v>348216</v>
      </c>
      <c r="B4" t="s">
        <v>42</v>
      </c>
      <c r="C4" t="s">
        <v>660</v>
      </c>
      <c r="G4" s="1">
        <f>IFERROR(AVERAGEIF('Full Player List'!$C$2:$C$1737, $C4, 'Full Player List'!S$2:S$1737),0)</f>
        <v>2.4</v>
      </c>
      <c r="H4" s="1">
        <f>IFERROR(AVERAGEIF('Full Player List'!$C$2:$C$1737, $C4, 'Full Player List'!T$2:T$1737),0)</f>
        <v>0.8</v>
      </c>
      <c r="I4" s="1">
        <f>IFERROR(AVERAGEIF('Full Player List'!$C$2:$C$1737, $C4, 'Full Player List'!U$2:U$1737),0)</f>
        <v>0</v>
      </c>
      <c r="J4" s="1">
        <f>IFERROR(AVERAGEIF('Full Player List'!$C$2:$C$1737, $C4, 'Full Player List'!V$2:V$1737),0)</f>
        <v>20.2</v>
      </c>
      <c r="K4" s="1">
        <f>IFERROR(AVERAGEIF('Full Player List'!$C$2:$C$1737, $C4, 'Full Player List'!W$2:W$1737),0)</f>
        <v>34.6</v>
      </c>
      <c r="L4" s="1">
        <f>IFERROR(AVERAGEIF('Full Player List'!$C$2:$C$1737, $C4, 'Full Player List'!X$2:X$1737),0)</f>
        <v>2.6</v>
      </c>
      <c r="M4" s="1">
        <f>IFERROR(AVERAGEIF('Full Player List'!$C$2:$C$1737, $C4, 'Full Player List'!Y$2:Y$1737),0)</f>
        <v>2.3333333333333335</v>
      </c>
      <c r="N4" s="1">
        <f>IFERROR(AVERAGEIF('Full Player List'!$C$2:$C$1737, $C4, 'Full Player List'!Z$2:Z$1737),0)</f>
        <v>0</v>
      </c>
      <c r="O4" s="1">
        <f>IFERROR(AVERAGEIF('Full Player List'!$C$2:$C$1737, $C4, 'Full Player List'!AA$2:AA$1737),0)</f>
        <v>0</v>
      </c>
      <c r="P4" s="1">
        <f>IFERROR(AVERAGEIF('Full Player List'!$C$2:$C$1737, $C4, 'Full Player List'!AB$2:AB$1737),0)</f>
        <v>0</v>
      </c>
      <c r="Q4" s="1">
        <f>IFERROR(AVERAGEIF('Full Player List'!$C$2:$C$1737, $C4, 'Full Player List'!AC$2:AC$1737),0)</f>
        <v>0</v>
      </c>
      <c r="R4" s="1">
        <f>IFERROR(AVERAGEIF('Full Player List'!$C$2:$C$1737, $C4, 'Full Player List'!AD$2:AD$1737),0)</f>
        <v>0</v>
      </c>
      <c r="S4" s="1">
        <f>IFERROR(AVERAGEIF('Full Player List'!$C$2:$C$1737, $C4, 'Full Player List'!AE$2:AE$1737),0)</f>
        <v>0</v>
      </c>
      <c r="T4" s="1">
        <f>IFERROR(AVERAGEIF('Full Player List'!$C$2:$C$1737, $C4, 'Full Player List'!AF$2:AF$1737),0)</f>
        <v>0</v>
      </c>
      <c r="U4" s="1">
        <f>IFERROR(AVERAGEIF('Full Player List'!$C$2:$C$1737, $C4, 'Full Player List'!AG$2:AG$1737),0)</f>
        <v>0</v>
      </c>
      <c r="V4" s="1">
        <f>IFERROR(AVERAGEIF('Full Player List'!$C$2:$C$1737, $C4, 'Full Player List'!AH$2:AH$1737),0)</f>
        <v>0</v>
      </c>
      <c r="W4" s="1">
        <f>IFERROR(AVERAGEIF('Full Player List'!$C$2:$C$1737, $C4, 'Full Player List'!AI$2:AI$1737),0)</f>
        <v>0</v>
      </c>
      <c r="X4" s="1">
        <f>IFERROR(AVERAGEIF('Full Player List'!$C$2:$C$1737, $C4, 'Full Player List'!AJ$2:AJ$1737),0)</f>
        <v>0</v>
      </c>
      <c r="Y4" s="1">
        <f>IFERROR(AVERAGEIF('Full Player List'!$C$2:$C$1737, $C4, 'Full Player List'!AK$2:AK$1737),0)</f>
        <v>0</v>
      </c>
      <c r="Z4" s="1">
        <f>IFERROR(AVERAGEIF('Full Player List'!$C$2:$C$1737, $C4, 'Full Player List'!AL$2:AL$1737),0)</f>
        <v>0</v>
      </c>
      <c r="AA4" s="1">
        <f>IFERROR(AVERAGEIF('Full Player List'!$C$2:$C$1737, $C4, 'Full Player List'!AM$2:AM$1737),0)</f>
        <v>0</v>
      </c>
    </row>
    <row r="5" spans="1:27" x14ac:dyDescent="0.3">
      <c r="A5">
        <v>349098</v>
      </c>
      <c r="B5" t="s">
        <v>42</v>
      </c>
      <c r="C5" t="s">
        <v>677</v>
      </c>
      <c r="G5" s="1">
        <f>IFERROR(AVERAGEIF('Full Player List'!$C$2:$C$1737, $C5, 'Full Player List'!S$2:S$1737),0)</f>
        <v>0</v>
      </c>
      <c r="H5" s="1">
        <f>IFERROR(AVERAGEIF('Full Player List'!$C$2:$C$1737, $C5, 'Full Player List'!T$2:T$1737),0)</f>
        <v>0.25</v>
      </c>
      <c r="I5" s="1">
        <f>IFERROR(AVERAGEIF('Full Player List'!$C$2:$C$1737, $C5, 'Full Player List'!U$2:U$1737),0)</f>
        <v>0</v>
      </c>
      <c r="J5" s="1">
        <f>IFERROR(AVERAGEIF('Full Player List'!$C$2:$C$1737, $C5, 'Full Player List'!V$2:V$1737),0)</f>
        <v>2.5</v>
      </c>
      <c r="K5" s="1">
        <f>IFERROR(AVERAGEIF('Full Player List'!$C$2:$C$1737, $C5, 'Full Player List'!W$2:W$1737),0)</f>
        <v>5.5</v>
      </c>
      <c r="L5" s="1">
        <f>IFERROR(AVERAGEIF('Full Player List'!$C$2:$C$1737, $C5, 'Full Player List'!X$2:X$1737),0)</f>
        <v>0</v>
      </c>
      <c r="M5" s="1">
        <f>IFERROR(AVERAGEIF('Full Player List'!$C$2:$C$1737, $C5, 'Full Player List'!Y$2:Y$1737),0)</f>
        <v>2</v>
      </c>
      <c r="N5" s="1">
        <f>IFERROR(AVERAGEIF('Full Player List'!$C$2:$C$1737, $C5, 'Full Player List'!Z$2:Z$1737),0)</f>
        <v>0</v>
      </c>
      <c r="O5" s="1">
        <f>IFERROR(AVERAGEIF('Full Player List'!$C$2:$C$1737, $C5, 'Full Player List'!AA$2:AA$1737),0)</f>
        <v>0</v>
      </c>
      <c r="P5" s="1">
        <f>IFERROR(AVERAGEIF('Full Player List'!$C$2:$C$1737, $C5, 'Full Player List'!AB$2:AB$1737),0)</f>
        <v>0</v>
      </c>
      <c r="Q5" s="1">
        <f>IFERROR(AVERAGEIF('Full Player List'!$C$2:$C$1737, $C5, 'Full Player List'!AC$2:AC$1737),0)</f>
        <v>0</v>
      </c>
      <c r="R5" s="1">
        <f>IFERROR(AVERAGEIF('Full Player List'!$C$2:$C$1737, $C5, 'Full Player List'!AD$2:AD$1737),0)</f>
        <v>0</v>
      </c>
      <c r="S5" s="1">
        <f>IFERROR(AVERAGEIF('Full Player List'!$C$2:$C$1737, $C5, 'Full Player List'!AE$2:AE$1737),0)</f>
        <v>0</v>
      </c>
      <c r="T5" s="1">
        <f>IFERROR(AVERAGEIF('Full Player List'!$C$2:$C$1737, $C5, 'Full Player List'!AF$2:AF$1737),0)</f>
        <v>0</v>
      </c>
      <c r="U5" s="1">
        <f>IFERROR(AVERAGEIF('Full Player List'!$C$2:$C$1737, $C5, 'Full Player List'!AG$2:AG$1737),0)</f>
        <v>0</v>
      </c>
      <c r="V5" s="1">
        <f>IFERROR(AVERAGEIF('Full Player List'!$C$2:$C$1737, $C5, 'Full Player List'!AH$2:AH$1737),0)</f>
        <v>0</v>
      </c>
      <c r="W5" s="1">
        <f>IFERROR(AVERAGEIF('Full Player List'!$C$2:$C$1737, $C5, 'Full Player List'!AI$2:AI$1737),0)</f>
        <v>0</v>
      </c>
      <c r="X5" s="1">
        <f>IFERROR(AVERAGEIF('Full Player List'!$C$2:$C$1737, $C5, 'Full Player List'!AJ$2:AJ$1737),0)</f>
        <v>0</v>
      </c>
      <c r="Y5" s="1">
        <f>IFERROR(AVERAGEIF('Full Player List'!$C$2:$C$1737, $C5, 'Full Player List'!AK$2:AK$1737),0)</f>
        <v>0.5</v>
      </c>
      <c r="Z5" s="1">
        <f>IFERROR(AVERAGEIF('Full Player List'!$C$2:$C$1737, $C5, 'Full Player List'!AL$2:AL$1737),0)</f>
        <v>0</v>
      </c>
      <c r="AA5" s="1">
        <f>IFERROR(AVERAGEIF('Full Player List'!$C$2:$C$1737, $C5, 'Full Player List'!AM$2:AM$1737),0)</f>
        <v>0</v>
      </c>
    </row>
    <row r="6" spans="1:27" x14ac:dyDescent="0.3">
      <c r="A6">
        <v>349838</v>
      </c>
      <c r="B6" t="s">
        <v>42</v>
      </c>
      <c r="C6" t="s">
        <v>695</v>
      </c>
      <c r="G6" s="1">
        <f>IFERROR(AVERAGEIF('Full Player List'!$C$2:$C$1737, $C6, 'Full Player List'!S$2:S$1737),0)</f>
        <v>4</v>
      </c>
      <c r="H6" s="1">
        <f>IFERROR(AVERAGEIF('Full Player List'!$C$2:$C$1737, $C6, 'Full Player List'!T$2:T$1737),0)</f>
        <v>0.33333333333333331</v>
      </c>
      <c r="I6" s="1">
        <f>IFERROR(AVERAGEIF('Full Player List'!$C$2:$C$1737, $C6, 'Full Player List'!U$2:U$1737),0)</f>
        <v>0</v>
      </c>
      <c r="J6" s="1">
        <f>IFERROR(AVERAGEIF('Full Player List'!$C$2:$C$1737, $C6, 'Full Player List'!V$2:V$1737),0)</f>
        <v>28.666666666666668</v>
      </c>
      <c r="K6" s="1">
        <f>IFERROR(AVERAGEIF('Full Player List'!$C$2:$C$1737, $C6, 'Full Player List'!W$2:W$1737),0)</f>
        <v>41.333333333333336</v>
      </c>
      <c r="L6" s="1">
        <f>IFERROR(AVERAGEIF('Full Player List'!$C$2:$C$1737, $C6, 'Full Player List'!X$2:X$1737),0)</f>
        <v>3.1666666666666665</v>
      </c>
      <c r="M6" s="1">
        <f>IFERROR(AVERAGEIF('Full Player List'!$C$2:$C$1737, $C6, 'Full Player List'!Y$2:Y$1737),0)</f>
        <v>2</v>
      </c>
      <c r="N6" s="1">
        <f>IFERROR(AVERAGEIF('Full Player List'!$C$2:$C$1737, $C6, 'Full Player List'!Z$2:Z$1737),0)</f>
        <v>0.33333333333333331</v>
      </c>
      <c r="O6" s="1">
        <f>IFERROR(AVERAGEIF('Full Player List'!$C$2:$C$1737, $C6, 'Full Player List'!AA$2:AA$1737),0)</f>
        <v>0</v>
      </c>
      <c r="P6" s="1">
        <f>IFERROR(AVERAGEIF('Full Player List'!$C$2:$C$1737, $C6, 'Full Player List'!AB$2:AB$1737),0)</f>
        <v>0</v>
      </c>
      <c r="Q6" s="1">
        <f>IFERROR(AVERAGEIF('Full Player List'!$C$2:$C$1737, $C6, 'Full Player List'!AC$2:AC$1737),0)</f>
        <v>0</v>
      </c>
      <c r="R6" s="1">
        <f>IFERROR(AVERAGEIF('Full Player List'!$C$2:$C$1737, $C6, 'Full Player List'!AD$2:AD$1737),0)</f>
        <v>0</v>
      </c>
      <c r="S6" s="1">
        <f>IFERROR(AVERAGEIF('Full Player List'!$C$2:$C$1737, $C6, 'Full Player List'!AE$2:AE$1737),0)</f>
        <v>0</v>
      </c>
      <c r="T6" s="1">
        <f>IFERROR(AVERAGEIF('Full Player List'!$C$2:$C$1737, $C6, 'Full Player List'!AF$2:AF$1737),0)</f>
        <v>0</v>
      </c>
      <c r="U6" s="1">
        <f>IFERROR(AVERAGEIF('Full Player List'!$C$2:$C$1737, $C6, 'Full Player List'!AG$2:AG$1737),0)</f>
        <v>0</v>
      </c>
      <c r="V6" s="1">
        <f>IFERROR(AVERAGEIF('Full Player List'!$C$2:$C$1737, $C6, 'Full Player List'!AH$2:AH$1737),0)</f>
        <v>0</v>
      </c>
      <c r="W6" s="1">
        <f>IFERROR(AVERAGEIF('Full Player List'!$C$2:$C$1737, $C6, 'Full Player List'!AI$2:AI$1737),0)</f>
        <v>0</v>
      </c>
      <c r="X6" s="1">
        <f>IFERROR(AVERAGEIF('Full Player List'!$C$2:$C$1737, $C6, 'Full Player List'!AJ$2:AJ$1737),0)</f>
        <v>0</v>
      </c>
      <c r="Y6" s="1">
        <f>IFERROR(AVERAGEIF('Full Player List'!$C$2:$C$1737, $C6, 'Full Player List'!AK$2:AK$1737),0)</f>
        <v>0</v>
      </c>
      <c r="Z6" s="1">
        <f>IFERROR(AVERAGEIF('Full Player List'!$C$2:$C$1737, $C6, 'Full Player List'!AL$2:AL$1737),0)</f>
        <v>0</v>
      </c>
      <c r="AA6" s="1">
        <f>IFERROR(AVERAGEIF('Full Player List'!$C$2:$C$1737, $C6, 'Full Player List'!AM$2:AM$1737),0)</f>
        <v>0</v>
      </c>
    </row>
    <row r="7" spans="1:27" x14ac:dyDescent="0.3">
      <c r="A7">
        <v>350458</v>
      </c>
      <c r="B7" t="s">
        <v>42</v>
      </c>
      <c r="C7" t="s">
        <v>710</v>
      </c>
      <c r="G7" s="1">
        <f>IFERROR(AVERAGEIF('Full Player List'!$C$2:$C$1737, $C7, 'Full Player List'!S$2:S$1737),0)</f>
        <v>2</v>
      </c>
      <c r="H7" s="1">
        <f>IFERROR(AVERAGEIF('Full Player List'!$C$2:$C$1737, $C7, 'Full Player List'!T$2:T$1737),0)</f>
        <v>0</v>
      </c>
      <c r="I7" s="1">
        <f>IFERROR(AVERAGEIF('Full Player List'!$C$2:$C$1737, $C7, 'Full Player List'!U$2:U$1737),0)</f>
        <v>0</v>
      </c>
      <c r="J7" s="1">
        <f>IFERROR(AVERAGEIF('Full Player List'!$C$2:$C$1737, $C7, 'Full Player List'!V$2:V$1737),0)</f>
        <v>17.25</v>
      </c>
      <c r="K7" s="1">
        <f>IFERROR(AVERAGEIF('Full Player List'!$C$2:$C$1737, $C7, 'Full Player List'!W$2:W$1737),0)</f>
        <v>24.75</v>
      </c>
      <c r="L7" s="1">
        <f>IFERROR(AVERAGEIF('Full Player List'!$C$2:$C$1737, $C7, 'Full Player List'!X$2:X$1737),0)</f>
        <v>1.25</v>
      </c>
      <c r="M7" s="1">
        <f>IFERROR(AVERAGEIF('Full Player List'!$C$2:$C$1737, $C7, 'Full Player List'!Y$2:Y$1737),0)</f>
        <v>4</v>
      </c>
      <c r="N7" s="1">
        <f>IFERROR(AVERAGEIF('Full Player List'!$C$2:$C$1737, $C7, 'Full Player List'!Z$2:Z$1737),0)</f>
        <v>0.25</v>
      </c>
      <c r="O7" s="1">
        <f>IFERROR(AVERAGEIF('Full Player List'!$C$2:$C$1737, $C7, 'Full Player List'!AA$2:AA$1737),0)</f>
        <v>0</v>
      </c>
      <c r="P7" s="1">
        <f>IFERROR(AVERAGEIF('Full Player List'!$C$2:$C$1737, $C7, 'Full Player List'!AB$2:AB$1737),0)</f>
        <v>0</v>
      </c>
      <c r="Q7" s="1">
        <f>IFERROR(AVERAGEIF('Full Player List'!$C$2:$C$1737, $C7, 'Full Player List'!AC$2:AC$1737),0)</f>
        <v>0</v>
      </c>
      <c r="R7" s="1">
        <f>IFERROR(AVERAGEIF('Full Player List'!$C$2:$C$1737, $C7, 'Full Player List'!AD$2:AD$1737),0)</f>
        <v>0</v>
      </c>
      <c r="S7" s="1">
        <f>IFERROR(AVERAGEIF('Full Player List'!$C$2:$C$1737, $C7, 'Full Player List'!AE$2:AE$1737),0)</f>
        <v>0</v>
      </c>
      <c r="T7" s="1">
        <f>IFERROR(AVERAGEIF('Full Player List'!$C$2:$C$1737, $C7, 'Full Player List'!AF$2:AF$1737),0)</f>
        <v>0</v>
      </c>
      <c r="U7" s="1">
        <f>IFERROR(AVERAGEIF('Full Player List'!$C$2:$C$1737, $C7, 'Full Player List'!AG$2:AG$1737),0)</f>
        <v>0</v>
      </c>
      <c r="V7" s="1">
        <f>IFERROR(AVERAGEIF('Full Player List'!$C$2:$C$1737, $C7, 'Full Player List'!AH$2:AH$1737),0)</f>
        <v>0</v>
      </c>
      <c r="W7" s="1">
        <f>IFERROR(AVERAGEIF('Full Player List'!$C$2:$C$1737, $C7, 'Full Player List'!AI$2:AI$1737),0)</f>
        <v>0</v>
      </c>
      <c r="X7" s="1">
        <f>IFERROR(AVERAGEIF('Full Player List'!$C$2:$C$1737, $C7, 'Full Player List'!AJ$2:AJ$1737),0)</f>
        <v>0</v>
      </c>
      <c r="Y7" s="1">
        <f>IFERROR(AVERAGEIF('Full Player List'!$C$2:$C$1737, $C7, 'Full Player List'!AK$2:AK$1737),0)</f>
        <v>0.5</v>
      </c>
      <c r="Z7" s="1">
        <f>IFERROR(AVERAGEIF('Full Player List'!$C$2:$C$1737, $C7, 'Full Player List'!AL$2:AL$1737),0)</f>
        <v>0</v>
      </c>
      <c r="AA7" s="1">
        <f>IFERROR(AVERAGEIF('Full Player List'!$C$2:$C$1737, $C7, 'Full Player List'!AM$2:AM$1737),0)</f>
        <v>0</v>
      </c>
    </row>
    <row r="8" spans="1:27" x14ac:dyDescent="0.3">
      <c r="A8">
        <v>362952</v>
      </c>
      <c r="B8" t="s">
        <v>42</v>
      </c>
      <c r="C8" t="s">
        <v>796</v>
      </c>
      <c r="G8" s="1">
        <f>IFERROR(AVERAGEIF('Full Player List'!$C$2:$C$1737, $C8, 'Full Player List'!S$2:S$1737),0)</f>
        <v>2</v>
      </c>
      <c r="H8" s="1">
        <f>IFERROR(AVERAGEIF('Full Player List'!$C$2:$C$1737, $C8, 'Full Player List'!T$2:T$1737),0)</f>
        <v>0</v>
      </c>
      <c r="I8" s="1">
        <f>IFERROR(AVERAGEIF('Full Player List'!$C$2:$C$1737, $C8, 'Full Player List'!U$2:U$1737),0)</f>
        <v>0</v>
      </c>
      <c r="J8" s="1">
        <f>IFERROR(AVERAGEIF('Full Player List'!$C$2:$C$1737, $C8, 'Full Player List'!V$2:V$1737),0)</f>
        <v>31.75</v>
      </c>
      <c r="K8" s="1">
        <f>IFERROR(AVERAGEIF('Full Player List'!$C$2:$C$1737, $C8, 'Full Player List'!W$2:W$1737),0)</f>
        <v>62.5</v>
      </c>
      <c r="L8" s="1">
        <f>IFERROR(AVERAGEIF('Full Player List'!$C$2:$C$1737, $C8, 'Full Player List'!X$2:X$1737),0)</f>
        <v>0.625</v>
      </c>
      <c r="M8" s="1">
        <f>IFERROR(AVERAGEIF('Full Player List'!$C$2:$C$1737, $C8, 'Full Player List'!Y$2:Y$1737),0)</f>
        <v>1</v>
      </c>
      <c r="N8" s="1">
        <f>IFERROR(AVERAGEIF('Full Player List'!$C$2:$C$1737, $C8, 'Full Player List'!Z$2:Z$1737),0)</f>
        <v>0</v>
      </c>
      <c r="O8" s="1">
        <f>IFERROR(AVERAGEIF('Full Player List'!$C$2:$C$1737, $C8, 'Full Player List'!AA$2:AA$1737),0)</f>
        <v>0</v>
      </c>
      <c r="P8" s="1">
        <f>IFERROR(AVERAGEIF('Full Player List'!$C$2:$C$1737, $C8, 'Full Player List'!AB$2:AB$1737),0)</f>
        <v>0</v>
      </c>
      <c r="Q8" s="1">
        <f>IFERROR(AVERAGEIF('Full Player List'!$C$2:$C$1737, $C8, 'Full Player List'!AC$2:AC$1737),0)</f>
        <v>0</v>
      </c>
      <c r="R8" s="1">
        <f>IFERROR(AVERAGEIF('Full Player List'!$C$2:$C$1737, $C8, 'Full Player List'!AD$2:AD$1737),0)</f>
        <v>0</v>
      </c>
      <c r="S8" s="1">
        <f>IFERROR(AVERAGEIF('Full Player List'!$C$2:$C$1737, $C8, 'Full Player List'!AE$2:AE$1737),0)</f>
        <v>0</v>
      </c>
      <c r="T8" s="1">
        <f>IFERROR(AVERAGEIF('Full Player List'!$C$2:$C$1737, $C8, 'Full Player List'!AF$2:AF$1737),0)</f>
        <v>0</v>
      </c>
      <c r="U8" s="1">
        <f>IFERROR(AVERAGEIF('Full Player List'!$C$2:$C$1737, $C8, 'Full Player List'!AG$2:AG$1737),0)</f>
        <v>0</v>
      </c>
      <c r="V8" s="1">
        <f>IFERROR(AVERAGEIF('Full Player List'!$C$2:$C$1737, $C8, 'Full Player List'!AH$2:AH$1737),0)</f>
        <v>0</v>
      </c>
      <c r="W8" s="1">
        <f>IFERROR(AVERAGEIF('Full Player List'!$C$2:$C$1737, $C8, 'Full Player List'!AI$2:AI$1737),0)</f>
        <v>0</v>
      </c>
      <c r="X8" s="1">
        <f>IFERROR(AVERAGEIF('Full Player List'!$C$2:$C$1737, $C8, 'Full Player List'!AJ$2:AJ$1737),0)</f>
        <v>0</v>
      </c>
      <c r="Y8" s="1">
        <f>IFERROR(AVERAGEIF('Full Player List'!$C$2:$C$1737, $C8, 'Full Player List'!AK$2:AK$1737),0)</f>
        <v>0</v>
      </c>
      <c r="Z8" s="1">
        <f>IFERROR(AVERAGEIF('Full Player List'!$C$2:$C$1737, $C8, 'Full Player List'!AL$2:AL$1737),0)</f>
        <v>0</v>
      </c>
      <c r="AA8" s="1">
        <f>IFERROR(AVERAGEIF('Full Player List'!$C$2:$C$1737, $C8, 'Full Player List'!AM$2:AM$1737),0)</f>
        <v>0</v>
      </c>
    </row>
    <row r="9" spans="1:27" x14ac:dyDescent="0.3">
      <c r="A9">
        <v>326546</v>
      </c>
      <c r="B9" t="s">
        <v>42</v>
      </c>
      <c r="C9" t="s">
        <v>558</v>
      </c>
      <c r="G9" s="1">
        <f>IFERROR(AVERAGEIF('Full Player List'!$C$2:$C$1737, $C9, 'Full Player List'!S$2:S$1737),0)</f>
        <v>1</v>
      </c>
      <c r="H9" s="1">
        <f>IFERROR(AVERAGEIF('Full Player List'!$C$2:$C$1737, $C9, 'Full Player List'!T$2:T$1737),0)</f>
        <v>0</v>
      </c>
      <c r="I9" s="1">
        <f>IFERROR(AVERAGEIF('Full Player List'!$C$2:$C$1737, $C9, 'Full Player List'!U$2:U$1737),0)</f>
        <v>0.25</v>
      </c>
      <c r="J9" s="1">
        <f>IFERROR(AVERAGEIF('Full Player List'!$C$2:$C$1737, $C9, 'Full Player List'!V$2:V$1737),0)</f>
        <v>12</v>
      </c>
      <c r="K9" s="1">
        <f>IFERROR(AVERAGEIF('Full Player List'!$C$2:$C$1737, $C9, 'Full Player List'!W$2:W$1737),0)</f>
        <v>18.75</v>
      </c>
      <c r="L9" s="1">
        <f>IFERROR(AVERAGEIF('Full Player List'!$C$2:$C$1737, $C9, 'Full Player List'!X$2:X$1737),0)</f>
        <v>1</v>
      </c>
      <c r="M9" s="1">
        <f>IFERROR(AVERAGEIF('Full Player List'!$C$2:$C$1737, $C9, 'Full Player List'!Y$2:Y$1737),0)</f>
        <v>1</v>
      </c>
      <c r="N9" s="1">
        <f>IFERROR(AVERAGEIF('Full Player List'!$C$2:$C$1737, $C9, 'Full Player List'!Z$2:Z$1737),0)</f>
        <v>0</v>
      </c>
      <c r="O9" s="1">
        <f>IFERROR(AVERAGEIF('Full Player List'!$C$2:$C$1737, $C9, 'Full Player List'!AA$2:AA$1737),0)</f>
        <v>0</v>
      </c>
      <c r="P9" s="1">
        <f>IFERROR(AVERAGEIF('Full Player List'!$C$2:$C$1737, $C9, 'Full Player List'!AB$2:AB$1737),0)</f>
        <v>0</v>
      </c>
      <c r="Q9" s="1">
        <f>IFERROR(AVERAGEIF('Full Player List'!$C$2:$C$1737, $C9, 'Full Player List'!AC$2:AC$1737),0)</f>
        <v>0</v>
      </c>
      <c r="R9" s="1">
        <f>IFERROR(AVERAGEIF('Full Player List'!$C$2:$C$1737, $C9, 'Full Player List'!AD$2:AD$1737),0)</f>
        <v>0</v>
      </c>
      <c r="S9" s="1">
        <f>IFERROR(AVERAGEIF('Full Player List'!$C$2:$C$1737, $C9, 'Full Player List'!AE$2:AE$1737),0)</f>
        <v>0</v>
      </c>
      <c r="T9" s="1">
        <f>IFERROR(AVERAGEIF('Full Player List'!$C$2:$C$1737, $C9, 'Full Player List'!AF$2:AF$1737),0)</f>
        <v>0</v>
      </c>
      <c r="U9" s="1">
        <f>IFERROR(AVERAGEIF('Full Player List'!$C$2:$C$1737, $C9, 'Full Player List'!AG$2:AG$1737),0)</f>
        <v>0</v>
      </c>
      <c r="V9" s="1">
        <f>IFERROR(AVERAGEIF('Full Player List'!$C$2:$C$1737, $C9, 'Full Player List'!AH$2:AH$1737),0)</f>
        <v>0</v>
      </c>
      <c r="W9" s="1">
        <f>IFERROR(AVERAGEIF('Full Player List'!$C$2:$C$1737, $C9, 'Full Player List'!AI$2:AI$1737),0)</f>
        <v>0</v>
      </c>
      <c r="X9" s="1">
        <f>IFERROR(AVERAGEIF('Full Player List'!$C$2:$C$1737, $C9, 'Full Player List'!AJ$2:AJ$1737),0)</f>
        <v>0</v>
      </c>
      <c r="Y9" s="1">
        <f>IFERROR(AVERAGEIF('Full Player List'!$C$2:$C$1737, $C9, 'Full Player List'!AK$2:AK$1737),0)</f>
        <v>0</v>
      </c>
      <c r="Z9" s="1">
        <f>IFERROR(AVERAGEIF('Full Player List'!$C$2:$C$1737, $C9, 'Full Player List'!AL$2:AL$1737),0)</f>
        <v>0</v>
      </c>
      <c r="AA9" s="1">
        <f>IFERROR(AVERAGEIF('Full Player List'!$C$2:$C$1737, $C9, 'Full Player List'!AM$2:AM$1737),0)</f>
        <v>0</v>
      </c>
    </row>
    <row r="10" spans="1:27" x14ac:dyDescent="0.3">
      <c r="A10">
        <v>326599</v>
      </c>
      <c r="B10" t="s">
        <v>42</v>
      </c>
      <c r="C10" t="s">
        <v>560</v>
      </c>
      <c r="G10" s="1">
        <f>IFERROR(AVERAGEIF('Full Player List'!$C$2:$C$1737, $C10, 'Full Player List'!S$2:S$1737),0)</f>
        <v>3.4</v>
      </c>
      <c r="H10" s="1">
        <f>IFERROR(AVERAGEIF('Full Player List'!$C$2:$C$1737, $C10, 'Full Player List'!T$2:T$1737),0)</f>
        <v>0.6</v>
      </c>
      <c r="I10" s="1">
        <f>IFERROR(AVERAGEIF('Full Player List'!$C$2:$C$1737, $C10, 'Full Player List'!U$2:U$1737),0)</f>
        <v>0.2</v>
      </c>
      <c r="J10" s="1">
        <f>IFERROR(AVERAGEIF('Full Player List'!$C$2:$C$1737, $C10, 'Full Player List'!V$2:V$1737),0)</f>
        <v>50.4</v>
      </c>
      <c r="K10" s="1">
        <f>IFERROR(AVERAGEIF('Full Player List'!$C$2:$C$1737, $C10, 'Full Player List'!W$2:W$1737),0)</f>
        <v>72.8</v>
      </c>
      <c r="L10" s="1">
        <f>IFERROR(AVERAGEIF('Full Player List'!$C$2:$C$1737, $C10, 'Full Player List'!X$2:X$1737),0)</f>
        <v>2.2000000000000002</v>
      </c>
      <c r="M10" s="1">
        <f>IFERROR(AVERAGEIF('Full Player List'!$C$2:$C$1737, $C10, 'Full Player List'!Y$2:Y$1737),0)</f>
        <v>1.5</v>
      </c>
      <c r="N10" s="1">
        <f>IFERROR(AVERAGEIF('Full Player List'!$C$2:$C$1737, $C10, 'Full Player List'!Z$2:Z$1737),0)</f>
        <v>0.4</v>
      </c>
      <c r="O10" s="1">
        <f>IFERROR(AVERAGEIF('Full Player List'!$C$2:$C$1737, $C10, 'Full Player List'!AA$2:AA$1737),0)</f>
        <v>22.619999999999997</v>
      </c>
      <c r="P10" s="1">
        <f>IFERROR(AVERAGEIF('Full Player List'!$C$2:$C$1737, $C10, 'Full Player List'!AB$2:AB$1737),0)</f>
        <v>57.8</v>
      </c>
      <c r="Q10" s="1">
        <f>IFERROR(AVERAGEIF('Full Player List'!$C$2:$C$1737, $C10, 'Full Player List'!AC$2:AC$1737),0)</f>
        <v>12.4</v>
      </c>
      <c r="R10" s="1">
        <f>IFERROR(AVERAGEIF('Full Player List'!$C$2:$C$1737, $C10, 'Full Player List'!AD$2:AD$1737),0)</f>
        <v>0.2</v>
      </c>
      <c r="S10" s="1">
        <f>IFERROR(AVERAGEIF('Full Player List'!$C$2:$C$1737, $C10, 'Full Player List'!AE$2:AE$1737),0)</f>
        <v>287.60000000000002</v>
      </c>
      <c r="T10" s="1">
        <f>IFERROR(AVERAGEIF('Full Player List'!$C$2:$C$1737, $C10, 'Full Player List'!AF$2:AF$1737),0)</f>
        <v>5.6</v>
      </c>
      <c r="U10" s="1">
        <f>IFERROR(AVERAGEIF('Full Player List'!$C$2:$C$1737, $C10, 'Full Player List'!AG$2:AG$1737),0)</f>
        <v>14</v>
      </c>
      <c r="V10" s="1">
        <f>IFERROR(AVERAGEIF('Full Player List'!$C$2:$C$1737, $C10, 'Full Player List'!AH$2:AH$1737),0)</f>
        <v>5</v>
      </c>
      <c r="W10" s="1">
        <f>IFERROR(AVERAGEIF('Full Player List'!$C$2:$C$1737, $C10, 'Full Player List'!AI$2:AI$1737),0)</f>
        <v>0</v>
      </c>
      <c r="X10" s="1">
        <f>IFERROR(AVERAGEIF('Full Player List'!$C$2:$C$1737, $C10, 'Full Player List'!AJ$2:AJ$1737),0)</f>
        <v>28</v>
      </c>
      <c r="Y10" s="1">
        <f>IFERROR(AVERAGEIF('Full Player List'!$C$2:$C$1737, $C10, 'Full Player List'!AK$2:AK$1737),0)</f>
        <v>0.5</v>
      </c>
      <c r="Z10" s="1">
        <f>IFERROR(AVERAGEIF('Full Player List'!$C$2:$C$1737, $C10, 'Full Player List'!AL$2:AL$1737),0)</f>
        <v>0.5</v>
      </c>
      <c r="AA10" s="1">
        <f>IFERROR(AVERAGEIF('Full Player List'!$C$2:$C$1737, $C10, 'Full Player List'!AM$2:AM$1737),0)</f>
        <v>0</v>
      </c>
    </row>
    <row r="11" spans="1:27" x14ac:dyDescent="0.3">
      <c r="A11">
        <v>338552</v>
      </c>
      <c r="B11" t="s">
        <v>42</v>
      </c>
      <c r="C11" t="s">
        <v>637</v>
      </c>
      <c r="G11" s="1">
        <f>IFERROR(AVERAGEIF('Full Player List'!$C$2:$C$1737, $C11, 'Full Player List'!S$2:S$1737),0)</f>
        <v>4.666666666666667</v>
      </c>
      <c r="H11" s="1">
        <f>IFERROR(AVERAGEIF('Full Player List'!$C$2:$C$1737, $C11, 'Full Player List'!T$2:T$1737),0)</f>
        <v>0</v>
      </c>
      <c r="I11" s="1">
        <f>IFERROR(AVERAGEIF('Full Player List'!$C$2:$C$1737, $C11, 'Full Player List'!U$2:U$1737),0)</f>
        <v>0</v>
      </c>
      <c r="J11" s="1">
        <f>IFERROR(AVERAGEIF('Full Player List'!$C$2:$C$1737, $C11, 'Full Player List'!V$2:V$1737),0)</f>
        <v>17</v>
      </c>
      <c r="K11" s="1">
        <f>IFERROR(AVERAGEIF('Full Player List'!$C$2:$C$1737, $C11, 'Full Player List'!W$2:W$1737),0)</f>
        <v>31.333333333333332</v>
      </c>
      <c r="L11" s="1">
        <f>IFERROR(AVERAGEIF('Full Player List'!$C$2:$C$1737, $C11, 'Full Player List'!X$2:X$1737),0)</f>
        <v>1.3333333333333333</v>
      </c>
      <c r="M11" s="1">
        <f>IFERROR(AVERAGEIF('Full Player List'!$C$2:$C$1737, $C11, 'Full Player List'!Y$2:Y$1737),0)</f>
        <v>2</v>
      </c>
      <c r="N11" s="1">
        <f>IFERROR(AVERAGEIF('Full Player List'!$C$2:$C$1737, $C11, 'Full Player List'!Z$2:Z$1737),0)</f>
        <v>0</v>
      </c>
      <c r="O11" s="1">
        <f>IFERROR(AVERAGEIF('Full Player List'!$C$2:$C$1737, $C11, 'Full Player List'!AA$2:AA$1737),0)</f>
        <v>0</v>
      </c>
      <c r="P11" s="1">
        <f>IFERROR(AVERAGEIF('Full Player List'!$C$2:$C$1737, $C11, 'Full Player List'!AB$2:AB$1737),0)</f>
        <v>0</v>
      </c>
      <c r="Q11" s="1">
        <f>IFERROR(AVERAGEIF('Full Player List'!$C$2:$C$1737, $C11, 'Full Player List'!AC$2:AC$1737),0)</f>
        <v>0</v>
      </c>
      <c r="R11" s="1">
        <f>IFERROR(AVERAGEIF('Full Player List'!$C$2:$C$1737, $C11, 'Full Player List'!AD$2:AD$1737),0)</f>
        <v>0</v>
      </c>
      <c r="S11" s="1">
        <f>IFERROR(AVERAGEIF('Full Player List'!$C$2:$C$1737, $C11, 'Full Player List'!AE$2:AE$1737),0)</f>
        <v>0</v>
      </c>
      <c r="T11" s="1">
        <f>IFERROR(AVERAGEIF('Full Player List'!$C$2:$C$1737, $C11, 'Full Player List'!AF$2:AF$1737),0)</f>
        <v>0</v>
      </c>
      <c r="U11" s="1">
        <f>IFERROR(AVERAGEIF('Full Player List'!$C$2:$C$1737, $C11, 'Full Player List'!AG$2:AG$1737),0)</f>
        <v>0</v>
      </c>
      <c r="V11" s="1">
        <f>IFERROR(AVERAGEIF('Full Player List'!$C$2:$C$1737, $C11, 'Full Player List'!AH$2:AH$1737),0)</f>
        <v>0</v>
      </c>
      <c r="W11" s="1">
        <f>IFERROR(AVERAGEIF('Full Player List'!$C$2:$C$1737, $C11, 'Full Player List'!AI$2:AI$1737),0)</f>
        <v>0</v>
      </c>
      <c r="X11" s="1">
        <f>IFERROR(AVERAGEIF('Full Player List'!$C$2:$C$1737, $C11, 'Full Player List'!AJ$2:AJ$1737),0)</f>
        <v>0</v>
      </c>
      <c r="Y11" s="1">
        <f>IFERROR(AVERAGEIF('Full Player List'!$C$2:$C$1737, $C11, 'Full Player List'!AK$2:AK$1737),0)</f>
        <v>0</v>
      </c>
      <c r="Z11" s="1">
        <f>IFERROR(AVERAGEIF('Full Player List'!$C$2:$C$1737, $C11, 'Full Player List'!AL$2:AL$1737),0)</f>
        <v>0</v>
      </c>
      <c r="AA11" s="1">
        <f>IFERROR(AVERAGEIF('Full Player List'!$C$2:$C$1737, $C11, 'Full Player List'!AM$2:AM$1737),0)</f>
        <v>0</v>
      </c>
    </row>
    <row r="12" spans="1:27" x14ac:dyDescent="0.3">
      <c r="A12">
        <v>368413</v>
      </c>
      <c r="B12" t="s">
        <v>42</v>
      </c>
      <c r="C12" t="s">
        <v>816</v>
      </c>
      <c r="G12" s="1">
        <f>IFERROR(AVERAGEIF('Full Player List'!$C$2:$C$1737, $C12, 'Full Player List'!S$2:S$1737),0)</f>
        <v>9</v>
      </c>
      <c r="H12" s="1">
        <f>IFERROR(AVERAGEIF('Full Player List'!$C$2:$C$1737, $C12, 'Full Player List'!T$2:T$1737),0)</f>
        <v>0</v>
      </c>
      <c r="I12" s="1">
        <f>IFERROR(AVERAGEIF('Full Player List'!$C$2:$C$1737, $C12, 'Full Player List'!U$2:U$1737),0)</f>
        <v>0.33333333333333331</v>
      </c>
      <c r="J12" s="1">
        <f>IFERROR(AVERAGEIF('Full Player List'!$C$2:$C$1737, $C12, 'Full Player List'!V$2:V$1737),0)</f>
        <v>26.666666666666668</v>
      </c>
      <c r="K12" s="1">
        <f>IFERROR(AVERAGEIF('Full Player List'!$C$2:$C$1737, $C12, 'Full Player List'!W$2:W$1737),0)</f>
        <v>36.666666666666664</v>
      </c>
      <c r="L12" s="1">
        <f>IFERROR(AVERAGEIF('Full Player List'!$C$2:$C$1737, $C12, 'Full Player List'!X$2:X$1737),0)</f>
        <v>1</v>
      </c>
      <c r="M12" s="1">
        <f>IFERROR(AVERAGEIF('Full Player List'!$C$2:$C$1737, $C12, 'Full Player List'!Y$2:Y$1737),0)</f>
        <v>3</v>
      </c>
      <c r="N12" s="1">
        <f>IFERROR(AVERAGEIF('Full Player List'!$C$2:$C$1737, $C12, 'Full Player List'!Z$2:Z$1737),0)</f>
        <v>0</v>
      </c>
      <c r="O12" s="1">
        <f>IFERROR(AVERAGEIF('Full Player List'!$C$2:$C$1737, $C12, 'Full Player List'!AA$2:AA$1737),0)</f>
        <v>0</v>
      </c>
      <c r="P12" s="1">
        <f>IFERROR(AVERAGEIF('Full Player List'!$C$2:$C$1737, $C12, 'Full Player List'!AB$2:AB$1737),0)</f>
        <v>0</v>
      </c>
      <c r="Q12" s="1">
        <f>IFERROR(AVERAGEIF('Full Player List'!$C$2:$C$1737, $C12, 'Full Player List'!AC$2:AC$1737),0)</f>
        <v>0</v>
      </c>
      <c r="R12" s="1">
        <f>IFERROR(AVERAGEIF('Full Player List'!$C$2:$C$1737, $C12, 'Full Player List'!AD$2:AD$1737),0)</f>
        <v>0</v>
      </c>
      <c r="S12" s="1">
        <f>IFERROR(AVERAGEIF('Full Player List'!$C$2:$C$1737, $C12, 'Full Player List'!AE$2:AE$1737),0)</f>
        <v>0</v>
      </c>
      <c r="T12" s="1">
        <f>IFERROR(AVERAGEIF('Full Player List'!$C$2:$C$1737, $C12, 'Full Player List'!AF$2:AF$1737),0)</f>
        <v>0</v>
      </c>
      <c r="U12" s="1">
        <f>IFERROR(AVERAGEIF('Full Player List'!$C$2:$C$1737, $C12, 'Full Player List'!AG$2:AG$1737),0)</f>
        <v>0</v>
      </c>
      <c r="V12" s="1">
        <f>IFERROR(AVERAGEIF('Full Player List'!$C$2:$C$1737, $C12, 'Full Player List'!AH$2:AH$1737),0)</f>
        <v>0</v>
      </c>
      <c r="W12" s="1">
        <f>IFERROR(AVERAGEIF('Full Player List'!$C$2:$C$1737, $C12, 'Full Player List'!AI$2:AI$1737),0)</f>
        <v>0</v>
      </c>
      <c r="X12" s="1">
        <f>IFERROR(AVERAGEIF('Full Player List'!$C$2:$C$1737, $C12, 'Full Player List'!AJ$2:AJ$1737),0)</f>
        <v>0</v>
      </c>
      <c r="Y12" s="1">
        <f>IFERROR(AVERAGEIF('Full Player List'!$C$2:$C$1737, $C12, 'Full Player List'!AK$2:AK$1737),0)</f>
        <v>0</v>
      </c>
      <c r="Z12" s="1">
        <f>IFERROR(AVERAGEIF('Full Player List'!$C$2:$C$1737, $C12, 'Full Player List'!AL$2:AL$1737),0)</f>
        <v>0</v>
      </c>
      <c r="AA12" s="1">
        <f>IFERROR(AVERAGEIF('Full Player List'!$C$2:$C$1737, $C12, 'Full Player List'!AM$2:AM$1737),0)</f>
        <v>0</v>
      </c>
    </row>
    <row r="13" spans="1:27" x14ac:dyDescent="0.3">
      <c r="A13">
        <v>373367</v>
      </c>
      <c r="B13" t="s">
        <v>42</v>
      </c>
      <c r="C13" t="s">
        <v>820</v>
      </c>
      <c r="G13" s="1">
        <f>IFERROR(AVERAGEIF('Full Player List'!$C$2:$C$1737, $C13, 'Full Player List'!S$2:S$1737),0)</f>
        <v>4.333333333333333</v>
      </c>
      <c r="H13" s="1">
        <f>IFERROR(AVERAGEIF('Full Player List'!$C$2:$C$1737, $C13, 'Full Player List'!T$2:T$1737),0)</f>
        <v>0</v>
      </c>
      <c r="I13" s="1">
        <f>IFERROR(AVERAGEIF('Full Player List'!$C$2:$C$1737, $C13, 'Full Player List'!U$2:U$1737),0)</f>
        <v>0.83333333333333337</v>
      </c>
      <c r="J13" s="1">
        <f>IFERROR(AVERAGEIF('Full Player List'!$C$2:$C$1737, $C13, 'Full Player List'!V$2:V$1737),0)</f>
        <v>39.333333333333336</v>
      </c>
      <c r="K13" s="1">
        <f>IFERROR(AVERAGEIF('Full Player List'!$C$2:$C$1737, $C13, 'Full Player List'!W$2:W$1737),0)</f>
        <v>67.333333333333329</v>
      </c>
      <c r="L13" s="1">
        <f>IFERROR(AVERAGEIF('Full Player List'!$C$2:$C$1737, $C13, 'Full Player List'!X$2:X$1737),0)</f>
        <v>3.6666666666666665</v>
      </c>
      <c r="M13" s="1">
        <f>IFERROR(AVERAGEIF('Full Player List'!$C$2:$C$1737, $C13, 'Full Player List'!Y$2:Y$1737),0)</f>
        <v>2</v>
      </c>
      <c r="N13" s="1">
        <f>IFERROR(AVERAGEIF('Full Player List'!$C$2:$C$1737, $C13, 'Full Player List'!Z$2:Z$1737),0)</f>
        <v>0.33333333333333331</v>
      </c>
      <c r="O13" s="1">
        <f>IFERROR(AVERAGEIF('Full Player List'!$C$2:$C$1737, $C13, 'Full Player List'!AA$2:AA$1737),0)</f>
        <v>0</v>
      </c>
      <c r="P13" s="1">
        <f>IFERROR(AVERAGEIF('Full Player List'!$C$2:$C$1737, $C13, 'Full Player List'!AB$2:AB$1737),0)</f>
        <v>0</v>
      </c>
      <c r="Q13" s="1">
        <f>IFERROR(AVERAGEIF('Full Player List'!$C$2:$C$1737, $C13, 'Full Player List'!AC$2:AC$1737),0)</f>
        <v>0</v>
      </c>
      <c r="R13" s="1">
        <f>IFERROR(AVERAGEIF('Full Player List'!$C$2:$C$1737, $C13, 'Full Player List'!AD$2:AD$1737),0)</f>
        <v>0</v>
      </c>
      <c r="S13" s="1">
        <f>IFERROR(AVERAGEIF('Full Player List'!$C$2:$C$1737, $C13, 'Full Player List'!AE$2:AE$1737),0)</f>
        <v>0</v>
      </c>
      <c r="T13" s="1">
        <f>IFERROR(AVERAGEIF('Full Player List'!$C$2:$C$1737, $C13, 'Full Player List'!AF$2:AF$1737),0)</f>
        <v>0</v>
      </c>
      <c r="U13" s="1">
        <f>IFERROR(AVERAGEIF('Full Player List'!$C$2:$C$1737, $C13, 'Full Player List'!AG$2:AG$1737),0)</f>
        <v>0</v>
      </c>
      <c r="V13" s="1">
        <f>IFERROR(AVERAGEIF('Full Player List'!$C$2:$C$1737, $C13, 'Full Player List'!AH$2:AH$1737),0)</f>
        <v>0</v>
      </c>
      <c r="W13" s="1">
        <f>IFERROR(AVERAGEIF('Full Player List'!$C$2:$C$1737, $C13, 'Full Player List'!AI$2:AI$1737),0)</f>
        <v>0</v>
      </c>
      <c r="X13" s="1">
        <f>IFERROR(AVERAGEIF('Full Player List'!$C$2:$C$1737, $C13, 'Full Player List'!AJ$2:AJ$1737),0)</f>
        <v>0</v>
      </c>
      <c r="Y13" s="1">
        <f>IFERROR(AVERAGEIF('Full Player List'!$C$2:$C$1737, $C13, 'Full Player List'!AK$2:AK$1737),0)</f>
        <v>0</v>
      </c>
      <c r="Z13" s="1">
        <f>IFERROR(AVERAGEIF('Full Player List'!$C$2:$C$1737, $C13, 'Full Player List'!AL$2:AL$1737),0)</f>
        <v>0</v>
      </c>
      <c r="AA13" s="1">
        <f>IFERROR(AVERAGEIF('Full Player List'!$C$2:$C$1737, $C13, 'Full Player List'!AM$2:AM$1737),0)</f>
        <v>0</v>
      </c>
    </row>
    <row r="14" spans="1:27" x14ac:dyDescent="0.3">
      <c r="A14">
        <v>349223</v>
      </c>
      <c r="B14" t="s">
        <v>42</v>
      </c>
      <c r="C14" t="s">
        <v>678</v>
      </c>
      <c r="G14" s="1">
        <f>IFERROR(AVERAGEIF('Full Player List'!$C$2:$C$1737, $C14, 'Full Player List'!S$2:S$1737),0)</f>
        <v>2</v>
      </c>
      <c r="H14" s="1">
        <f>IFERROR(AVERAGEIF('Full Player List'!$C$2:$C$1737, $C14, 'Full Player List'!T$2:T$1737),0)</f>
        <v>1</v>
      </c>
      <c r="I14" s="1">
        <f>IFERROR(AVERAGEIF('Full Player List'!$C$2:$C$1737, $C14, 'Full Player List'!U$2:U$1737),0)</f>
        <v>0.75</v>
      </c>
      <c r="J14" s="1">
        <f>IFERROR(AVERAGEIF('Full Player List'!$C$2:$C$1737, $C14, 'Full Player List'!V$2:V$1737),0)</f>
        <v>38.25</v>
      </c>
      <c r="K14" s="1">
        <f>IFERROR(AVERAGEIF('Full Player List'!$C$2:$C$1737, $C14, 'Full Player List'!W$2:W$1737),0)</f>
        <v>52.75</v>
      </c>
      <c r="L14" s="1">
        <f>IFERROR(AVERAGEIF('Full Player List'!$C$2:$C$1737, $C14, 'Full Player List'!X$2:X$1737),0)</f>
        <v>2.875</v>
      </c>
      <c r="M14" s="1">
        <f>IFERROR(AVERAGEIF('Full Player List'!$C$2:$C$1737, $C14, 'Full Player List'!Y$2:Y$1737),0)</f>
        <v>3</v>
      </c>
      <c r="N14" s="1">
        <f>IFERROR(AVERAGEIF('Full Player List'!$C$2:$C$1737, $C14, 'Full Player List'!Z$2:Z$1737),0)</f>
        <v>0</v>
      </c>
      <c r="O14" s="1">
        <f>IFERROR(AVERAGEIF('Full Player List'!$C$2:$C$1737, $C14, 'Full Player List'!AA$2:AA$1737),0)</f>
        <v>5.5</v>
      </c>
      <c r="P14" s="1">
        <f>IFERROR(AVERAGEIF('Full Player List'!$C$2:$C$1737, $C14, 'Full Player List'!AB$2:AB$1737),0)</f>
        <v>11</v>
      </c>
      <c r="Q14" s="1">
        <f>IFERROR(AVERAGEIF('Full Player List'!$C$2:$C$1737, $C14, 'Full Player List'!AC$2:AC$1737),0)</f>
        <v>2</v>
      </c>
      <c r="R14" s="1">
        <f>IFERROR(AVERAGEIF('Full Player List'!$C$2:$C$1737, $C14, 'Full Player List'!AD$2:AD$1737),0)</f>
        <v>0</v>
      </c>
      <c r="S14" s="1">
        <f>IFERROR(AVERAGEIF('Full Player List'!$C$2:$C$1737, $C14, 'Full Player List'!AE$2:AE$1737),0)</f>
        <v>11</v>
      </c>
      <c r="T14" s="1">
        <f>IFERROR(AVERAGEIF('Full Player List'!$C$2:$C$1737, $C14, 'Full Player List'!AF$2:AF$1737),0)</f>
        <v>0</v>
      </c>
      <c r="U14" s="1">
        <f>IFERROR(AVERAGEIF('Full Player List'!$C$2:$C$1737, $C14, 'Full Player List'!AG$2:AG$1737),0)</f>
        <v>0</v>
      </c>
      <c r="V14" s="1">
        <f>IFERROR(AVERAGEIF('Full Player List'!$C$2:$C$1737, $C14, 'Full Player List'!AH$2:AH$1737),0)</f>
        <v>0</v>
      </c>
      <c r="W14" s="1">
        <f>IFERROR(AVERAGEIF('Full Player List'!$C$2:$C$1737, $C14, 'Full Player List'!AI$2:AI$1737),0)</f>
        <v>0</v>
      </c>
      <c r="X14" s="1">
        <f>IFERROR(AVERAGEIF('Full Player List'!$C$2:$C$1737, $C14, 'Full Player List'!AJ$2:AJ$1737),0)</f>
        <v>0</v>
      </c>
      <c r="Y14" s="1">
        <f>IFERROR(AVERAGEIF('Full Player List'!$C$2:$C$1737, $C14, 'Full Player List'!AK$2:AK$1737),0)</f>
        <v>0</v>
      </c>
      <c r="Z14" s="1">
        <f>IFERROR(AVERAGEIF('Full Player List'!$C$2:$C$1737, $C14, 'Full Player List'!AL$2:AL$1737),0)</f>
        <v>0</v>
      </c>
      <c r="AA14" s="1">
        <f>IFERROR(AVERAGEIF('Full Player List'!$C$2:$C$1737, $C14, 'Full Player List'!AM$2:AM$1737),0)</f>
        <v>0</v>
      </c>
    </row>
    <row r="15" spans="1:27" x14ac:dyDescent="0.3">
      <c r="A15">
        <v>325170</v>
      </c>
      <c r="B15" t="s">
        <v>42</v>
      </c>
      <c r="C15" t="s">
        <v>511</v>
      </c>
      <c r="G15" s="1">
        <f>IFERROR(AVERAGEIF('Full Player List'!$C$2:$C$1737, $C15, 'Full Player List'!S$2:S$1737),0)</f>
        <v>1</v>
      </c>
      <c r="H15" s="1">
        <f>IFERROR(AVERAGEIF('Full Player List'!$C$2:$C$1737, $C15, 'Full Player List'!T$2:T$1737),0)</f>
        <v>0</v>
      </c>
      <c r="I15" s="1">
        <f>IFERROR(AVERAGEIF('Full Player List'!$C$2:$C$1737, $C15, 'Full Player List'!U$2:U$1737),0)</f>
        <v>0</v>
      </c>
      <c r="J15" s="1">
        <f>IFERROR(AVERAGEIF('Full Player List'!$C$2:$C$1737, $C15, 'Full Player List'!V$2:V$1737),0)</f>
        <v>9.8000000000000007</v>
      </c>
      <c r="K15" s="1">
        <f>IFERROR(AVERAGEIF('Full Player List'!$C$2:$C$1737, $C15, 'Full Player List'!W$2:W$1737),0)</f>
        <v>12.4</v>
      </c>
      <c r="L15" s="1">
        <f>IFERROR(AVERAGEIF('Full Player List'!$C$2:$C$1737, $C15, 'Full Player List'!X$2:X$1737),0)</f>
        <v>0.3</v>
      </c>
      <c r="M15" s="1">
        <f>IFERROR(AVERAGEIF('Full Player List'!$C$2:$C$1737, $C15, 'Full Player List'!Y$2:Y$1737),0)</f>
        <v>0</v>
      </c>
      <c r="N15" s="1">
        <f>IFERROR(AVERAGEIF('Full Player List'!$C$2:$C$1737, $C15, 'Full Player List'!Z$2:Z$1737),0)</f>
        <v>0</v>
      </c>
      <c r="O15" s="1">
        <f>IFERROR(AVERAGEIF('Full Player List'!$C$2:$C$1737, $C15, 'Full Player List'!AA$2:AA$1737),0)</f>
        <v>0</v>
      </c>
      <c r="P15" s="1">
        <f>IFERROR(AVERAGEIF('Full Player List'!$C$2:$C$1737, $C15, 'Full Player List'!AB$2:AB$1737),0)</f>
        <v>0</v>
      </c>
      <c r="Q15" s="1">
        <f>IFERROR(AVERAGEIF('Full Player List'!$C$2:$C$1737, $C15, 'Full Player List'!AC$2:AC$1737),0)</f>
        <v>0</v>
      </c>
      <c r="R15" s="1">
        <f>IFERROR(AVERAGEIF('Full Player List'!$C$2:$C$1737, $C15, 'Full Player List'!AD$2:AD$1737),0)</f>
        <v>0</v>
      </c>
      <c r="S15" s="1">
        <f>IFERROR(AVERAGEIF('Full Player List'!$C$2:$C$1737, $C15, 'Full Player List'!AE$2:AE$1737),0)</f>
        <v>0</v>
      </c>
      <c r="T15" s="1">
        <f>IFERROR(AVERAGEIF('Full Player List'!$C$2:$C$1737, $C15, 'Full Player List'!AF$2:AF$1737),0)</f>
        <v>21</v>
      </c>
      <c r="U15" s="1">
        <f>IFERROR(AVERAGEIF('Full Player List'!$C$2:$C$1737, $C15, 'Full Player List'!AG$2:AG$1737),0)</f>
        <v>21</v>
      </c>
      <c r="V15" s="1">
        <f>IFERROR(AVERAGEIF('Full Player List'!$C$2:$C$1737, $C15, 'Full Player List'!AH$2:AH$1737),0)</f>
        <v>1</v>
      </c>
      <c r="W15" s="1">
        <f>IFERROR(AVERAGEIF('Full Player List'!$C$2:$C$1737, $C15, 'Full Player List'!AI$2:AI$1737),0)</f>
        <v>0</v>
      </c>
      <c r="X15" s="1">
        <f>IFERROR(AVERAGEIF('Full Player List'!$C$2:$C$1737, $C15, 'Full Player List'!AJ$2:AJ$1737),0)</f>
        <v>21</v>
      </c>
      <c r="Y15" s="1">
        <f>IFERROR(AVERAGEIF('Full Player List'!$C$2:$C$1737, $C15, 'Full Player List'!AK$2:AK$1737),0)</f>
        <v>0</v>
      </c>
      <c r="Z15" s="1">
        <f>IFERROR(AVERAGEIF('Full Player List'!$C$2:$C$1737, $C15, 'Full Player List'!AL$2:AL$1737),0)</f>
        <v>0</v>
      </c>
      <c r="AA15" s="1">
        <f>IFERROR(AVERAGEIF('Full Player List'!$C$2:$C$1737, $C15, 'Full Player List'!AM$2:AM$1737),0)</f>
        <v>0</v>
      </c>
    </row>
    <row r="16" spans="1:27" x14ac:dyDescent="0.3">
      <c r="A16">
        <v>325952</v>
      </c>
      <c r="B16" t="s">
        <v>42</v>
      </c>
      <c r="C16" t="s">
        <v>538</v>
      </c>
      <c r="G16" s="1">
        <f>IFERROR(AVERAGEIF('Full Player List'!$C$2:$C$1737, $C16, 'Full Player List'!S$2:S$1737),0)</f>
        <v>0.6</v>
      </c>
      <c r="H16" s="1">
        <f>IFERROR(AVERAGEIF('Full Player List'!$C$2:$C$1737, $C16, 'Full Player List'!T$2:T$1737),0)</f>
        <v>0.2</v>
      </c>
      <c r="I16" s="1">
        <f>IFERROR(AVERAGEIF('Full Player List'!$C$2:$C$1737, $C16, 'Full Player List'!U$2:U$1737),0)</f>
        <v>0.2</v>
      </c>
      <c r="J16" s="1">
        <f>IFERROR(AVERAGEIF('Full Player List'!$C$2:$C$1737, $C16, 'Full Player List'!V$2:V$1737),0)</f>
        <v>18.600000000000001</v>
      </c>
      <c r="K16" s="1">
        <f>IFERROR(AVERAGEIF('Full Player List'!$C$2:$C$1737, $C16, 'Full Player List'!W$2:W$1737),0)</f>
        <v>27.6</v>
      </c>
      <c r="L16" s="1">
        <f>IFERROR(AVERAGEIF('Full Player List'!$C$2:$C$1737, $C16, 'Full Player List'!X$2:X$1737),0)</f>
        <v>1.2</v>
      </c>
      <c r="M16" s="1">
        <f>IFERROR(AVERAGEIF('Full Player List'!$C$2:$C$1737, $C16, 'Full Player List'!Y$2:Y$1737),0)</f>
        <v>2</v>
      </c>
      <c r="N16" s="1">
        <f>IFERROR(AVERAGEIF('Full Player List'!$C$2:$C$1737, $C16, 'Full Player List'!Z$2:Z$1737),0)</f>
        <v>0</v>
      </c>
      <c r="O16" s="1">
        <f>IFERROR(AVERAGEIF('Full Player List'!$C$2:$C$1737, $C16, 'Full Player List'!AA$2:AA$1737),0)</f>
        <v>0</v>
      </c>
      <c r="P16" s="1">
        <f>IFERROR(AVERAGEIF('Full Player List'!$C$2:$C$1737, $C16, 'Full Player List'!AB$2:AB$1737),0)</f>
        <v>0</v>
      </c>
      <c r="Q16" s="1">
        <f>IFERROR(AVERAGEIF('Full Player List'!$C$2:$C$1737, $C16, 'Full Player List'!AC$2:AC$1737),0)</f>
        <v>0</v>
      </c>
      <c r="R16" s="1">
        <f>IFERROR(AVERAGEIF('Full Player List'!$C$2:$C$1737, $C16, 'Full Player List'!AD$2:AD$1737),0)</f>
        <v>0</v>
      </c>
      <c r="S16" s="1">
        <f>IFERROR(AVERAGEIF('Full Player List'!$C$2:$C$1737, $C16, 'Full Player List'!AE$2:AE$1737),0)</f>
        <v>0</v>
      </c>
      <c r="T16" s="1">
        <f>IFERROR(AVERAGEIF('Full Player List'!$C$2:$C$1737, $C16, 'Full Player List'!AF$2:AF$1737),0)</f>
        <v>0</v>
      </c>
      <c r="U16" s="1">
        <f>IFERROR(AVERAGEIF('Full Player List'!$C$2:$C$1737, $C16, 'Full Player List'!AG$2:AG$1737),0)</f>
        <v>0</v>
      </c>
      <c r="V16" s="1">
        <f>IFERROR(AVERAGEIF('Full Player List'!$C$2:$C$1737, $C16, 'Full Player List'!AH$2:AH$1737),0)</f>
        <v>0</v>
      </c>
      <c r="W16" s="1">
        <f>IFERROR(AVERAGEIF('Full Player List'!$C$2:$C$1737, $C16, 'Full Player List'!AI$2:AI$1737),0)</f>
        <v>0</v>
      </c>
      <c r="X16" s="1">
        <f>IFERROR(AVERAGEIF('Full Player List'!$C$2:$C$1737, $C16, 'Full Player List'!AJ$2:AJ$1737),0)</f>
        <v>0</v>
      </c>
      <c r="Y16" s="1">
        <f>IFERROR(AVERAGEIF('Full Player List'!$C$2:$C$1737, $C16, 'Full Player List'!AK$2:AK$1737),0)</f>
        <v>0</v>
      </c>
      <c r="Z16" s="1">
        <f>IFERROR(AVERAGEIF('Full Player List'!$C$2:$C$1737, $C16, 'Full Player List'!AL$2:AL$1737),0)</f>
        <v>0</v>
      </c>
      <c r="AA16" s="1">
        <f>IFERROR(AVERAGEIF('Full Player List'!$C$2:$C$1737, $C16, 'Full Player List'!AM$2:AM$1737),0)</f>
        <v>0</v>
      </c>
    </row>
    <row r="17" spans="1:27" x14ac:dyDescent="0.3">
      <c r="A17">
        <v>327662</v>
      </c>
      <c r="B17" t="s">
        <v>42</v>
      </c>
      <c r="C17" t="s">
        <v>567</v>
      </c>
      <c r="G17" s="1">
        <f>IFERROR(AVERAGEIF('Full Player List'!$C$2:$C$1737, $C17, 'Full Player List'!S$2:S$1737),0)</f>
        <v>4.4000000000000004</v>
      </c>
      <c r="H17" s="1">
        <f>IFERROR(AVERAGEIF('Full Player List'!$C$2:$C$1737, $C17, 'Full Player List'!T$2:T$1737),0)</f>
        <v>0.4</v>
      </c>
      <c r="I17" s="1">
        <f>IFERROR(AVERAGEIF('Full Player List'!$C$2:$C$1737, $C17, 'Full Player List'!U$2:U$1737),0)</f>
        <v>0.4</v>
      </c>
      <c r="J17" s="1">
        <f>IFERROR(AVERAGEIF('Full Player List'!$C$2:$C$1737, $C17, 'Full Player List'!V$2:V$1737),0)</f>
        <v>33</v>
      </c>
      <c r="K17" s="1">
        <f>IFERROR(AVERAGEIF('Full Player List'!$C$2:$C$1737, $C17, 'Full Player List'!W$2:W$1737),0)</f>
        <v>46</v>
      </c>
      <c r="L17" s="1">
        <f>IFERROR(AVERAGEIF('Full Player List'!$C$2:$C$1737, $C17, 'Full Player List'!X$2:X$1737),0)</f>
        <v>1.8</v>
      </c>
      <c r="M17" s="1">
        <f>IFERROR(AVERAGEIF('Full Player List'!$C$2:$C$1737, $C17, 'Full Player List'!Y$2:Y$1737),0)</f>
        <v>3.3333333333333335</v>
      </c>
      <c r="N17" s="1">
        <f>IFERROR(AVERAGEIF('Full Player List'!$C$2:$C$1737, $C17, 'Full Player List'!Z$2:Z$1737),0)</f>
        <v>0</v>
      </c>
      <c r="O17" s="1">
        <f>IFERROR(AVERAGEIF('Full Player List'!$C$2:$C$1737, $C17, 'Full Player List'!AA$2:AA$1737),0)</f>
        <v>17.7</v>
      </c>
      <c r="P17" s="1">
        <f>IFERROR(AVERAGEIF('Full Player List'!$C$2:$C$1737, $C17, 'Full Player List'!AB$2:AB$1737),0)</f>
        <v>24</v>
      </c>
      <c r="Q17" s="1">
        <f>IFERROR(AVERAGEIF('Full Player List'!$C$2:$C$1737, $C17, 'Full Player List'!AC$2:AC$1737),0)</f>
        <v>7</v>
      </c>
      <c r="R17" s="1">
        <f>IFERROR(AVERAGEIF('Full Player List'!$C$2:$C$1737, $C17, 'Full Player List'!AD$2:AD$1737),0)</f>
        <v>0</v>
      </c>
      <c r="S17" s="1">
        <f>IFERROR(AVERAGEIF('Full Player List'!$C$2:$C$1737, $C17, 'Full Player List'!AE$2:AE$1737),0)</f>
        <v>124</v>
      </c>
      <c r="T17" s="1">
        <f>IFERROR(AVERAGEIF('Full Player List'!$C$2:$C$1737, $C17, 'Full Player List'!AF$2:AF$1737),0)</f>
        <v>0</v>
      </c>
      <c r="U17" s="1">
        <f>IFERROR(AVERAGEIF('Full Player List'!$C$2:$C$1737, $C17, 'Full Player List'!AG$2:AG$1737),0)</f>
        <v>0</v>
      </c>
      <c r="V17" s="1">
        <f>IFERROR(AVERAGEIF('Full Player List'!$C$2:$C$1737, $C17, 'Full Player List'!AH$2:AH$1737),0)</f>
        <v>0</v>
      </c>
      <c r="W17" s="1">
        <f>IFERROR(AVERAGEIF('Full Player List'!$C$2:$C$1737, $C17, 'Full Player List'!AI$2:AI$1737),0)</f>
        <v>0</v>
      </c>
      <c r="X17" s="1">
        <f>IFERROR(AVERAGEIF('Full Player List'!$C$2:$C$1737, $C17, 'Full Player List'!AJ$2:AJ$1737),0)</f>
        <v>0</v>
      </c>
      <c r="Y17" s="1">
        <f>IFERROR(AVERAGEIF('Full Player List'!$C$2:$C$1737, $C17, 'Full Player List'!AK$2:AK$1737),0)</f>
        <v>0.5</v>
      </c>
      <c r="Z17" s="1">
        <f>IFERROR(AVERAGEIF('Full Player List'!$C$2:$C$1737, $C17, 'Full Player List'!AL$2:AL$1737),0)</f>
        <v>0</v>
      </c>
      <c r="AA17" s="1">
        <f>IFERROR(AVERAGEIF('Full Player List'!$C$2:$C$1737, $C17, 'Full Player List'!AM$2:AM$1737),0)</f>
        <v>0</v>
      </c>
    </row>
    <row r="18" spans="1:27" x14ac:dyDescent="0.3">
      <c r="A18">
        <v>337963</v>
      </c>
      <c r="B18" t="s">
        <v>42</v>
      </c>
      <c r="C18" t="s">
        <v>636</v>
      </c>
      <c r="G18" s="1">
        <f>IFERROR(AVERAGEIF('Full Player List'!$C$2:$C$1737, $C18, 'Full Player List'!S$2:S$1737),0)</f>
        <v>2</v>
      </c>
      <c r="H18" s="1">
        <f>IFERROR(AVERAGEIF('Full Player List'!$C$2:$C$1737, $C18, 'Full Player List'!T$2:T$1737),0)</f>
        <v>0.6</v>
      </c>
      <c r="I18" s="1">
        <f>IFERROR(AVERAGEIF('Full Player List'!$C$2:$C$1737, $C18, 'Full Player List'!U$2:U$1737),0)</f>
        <v>0.4</v>
      </c>
      <c r="J18" s="1">
        <f>IFERROR(AVERAGEIF('Full Player List'!$C$2:$C$1737, $C18, 'Full Player List'!V$2:V$1737),0)</f>
        <v>30.2</v>
      </c>
      <c r="K18" s="1">
        <f>IFERROR(AVERAGEIF('Full Player List'!$C$2:$C$1737, $C18, 'Full Player List'!W$2:W$1737),0)</f>
        <v>41.8</v>
      </c>
      <c r="L18" s="1">
        <f>IFERROR(AVERAGEIF('Full Player List'!$C$2:$C$1737, $C18, 'Full Player List'!X$2:X$1737),0)</f>
        <v>2.6</v>
      </c>
      <c r="M18" s="1">
        <f>IFERROR(AVERAGEIF('Full Player List'!$C$2:$C$1737, $C18, 'Full Player List'!Y$2:Y$1737),0)</f>
        <v>3</v>
      </c>
      <c r="N18" s="1">
        <f>IFERROR(AVERAGEIF('Full Player List'!$C$2:$C$1737, $C18, 'Full Player List'!Z$2:Z$1737),0)</f>
        <v>0</v>
      </c>
      <c r="O18" s="1">
        <f>IFERROR(AVERAGEIF('Full Player List'!$C$2:$C$1737, $C18, 'Full Player List'!AA$2:AA$1737),0)</f>
        <v>0</v>
      </c>
      <c r="P18" s="1">
        <f>IFERROR(AVERAGEIF('Full Player List'!$C$2:$C$1737, $C18, 'Full Player List'!AB$2:AB$1737),0)</f>
        <v>0</v>
      </c>
      <c r="Q18" s="1">
        <f>IFERROR(AVERAGEIF('Full Player List'!$C$2:$C$1737, $C18, 'Full Player List'!AC$2:AC$1737),0)</f>
        <v>0</v>
      </c>
      <c r="R18" s="1">
        <f>IFERROR(AVERAGEIF('Full Player List'!$C$2:$C$1737, $C18, 'Full Player List'!AD$2:AD$1737),0)</f>
        <v>0</v>
      </c>
      <c r="S18" s="1">
        <f>IFERROR(AVERAGEIF('Full Player List'!$C$2:$C$1737, $C18, 'Full Player List'!AE$2:AE$1737),0)</f>
        <v>0</v>
      </c>
      <c r="T18" s="1">
        <f>IFERROR(AVERAGEIF('Full Player List'!$C$2:$C$1737, $C18, 'Full Player List'!AF$2:AF$1737),0)</f>
        <v>0</v>
      </c>
      <c r="U18" s="1">
        <f>IFERROR(AVERAGEIF('Full Player List'!$C$2:$C$1737, $C18, 'Full Player List'!AG$2:AG$1737),0)</f>
        <v>0</v>
      </c>
      <c r="V18" s="1">
        <f>IFERROR(AVERAGEIF('Full Player List'!$C$2:$C$1737, $C18, 'Full Player List'!AH$2:AH$1737),0)</f>
        <v>0</v>
      </c>
      <c r="W18" s="1">
        <f>IFERROR(AVERAGEIF('Full Player List'!$C$2:$C$1737, $C18, 'Full Player List'!AI$2:AI$1737),0)</f>
        <v>0</v>
      </c>
      <c r="X18" s="1">
        <f>IFERROR(AVERAGEIF('Full Player List'!$C$2:$C$1737, $C18, 'Full Player List'!AJ$2:AJ$1737),0)</f>
        <v>0</v>
      </c>
      <c r="Y18" s="1">
        <f>IFERROR(AVERAGEIF('Full Player List'!$C$2:$C$1737, $C18, 'Full Player List'!AK$2:AK$1737),0)</f>
        <v>0</v>
      </c>
      <c r="Z18" s="1">
        <f>IFERROR(AVERAGEIF('Full Player List'!$C$2:$C$1737, $C18, 'Full Player List'!AL$2:AL$1737),0)</f>
        <v>0</v>
      </c>
      <c r="AA18" s="1">
        <f>IFERROR(AVERAGEIF('Full Player List'!$C$2:$C$1737, $C18, 'Full Player List'!AM$2:AM$1737),0)</f>
        <v>0</v>
      </c>
    </row>
    <row r="19" spans="1:27" x14ac:dyDescent="0.3">
      <c r="A19">
        <v>350247</v>
      </c>
      <c r="B19" t="s">
        <v>42</v>
      </c>
      <c r="C19" t="s">
        <v>704</v>
      </c>
      <c r="G19" s="1">
        <f>IFERROR(AVERAGEIF('Full Player List'!$C$2:$C$1737, $C19, 'Full Player List'!S$2:S$1737),0)</f>
        <v>1.5</v>
      </c>
      <c r="H19" s="1">
        <f>IFERROR(AVERAGEIF('Full Player List'!$C$2:$C$1737, $C19, 'Full Player List'!T$2:T$1737),0)</f>
        <v>0.25</v>
      </c>
      <c r="I19" s="1">
        <f>IFERROR(AVERAGEIF('Full Player List'!$C$2:$C$1737, $C19, 'Full Player List'!U$2:U$1737),0)</f>
        <v>0.25</v>
      </c>
      <c r="J19" s="1">
        <f>IFERROR(AVERAGEIF('Full Player List'!$C$2:$C$1737, $C19, 'Full Player List'!V$2:V$1737),0)</f>
        <v>18.75</v>
      </c>
      <c r="K19" s="1">
        <f>IFERROR(AVERAGEIF('Full Player List'!$C$2:$C$1737, $C19, 'Full Player List'!W$2:W$1737),0)</f>
        <v>24.75</v>
      </c>
      <c r="L19" s="1">
        <f>IFERROR(AVERAGEIF('Full Player List'!$C$2:$C$1737, $C19, 'Full Player List'!X$2:X$1737),0)</f>
        <v>1.25</v>
      </c>
      <c r="M19" s="1">
        <f>IFERROR(AVERAGEIF('Full Player List'!$C$2:$C$1737, $C19, 'Full Player List'!Y$2:Y$1737),0)</f>
        <v>1.5</v>
      </c>
      <c r="N19" s="1">
        <f>IFERROR(AVERAGEIF('Full Player List'!$C$2:$C$1737, $C19, 'Full Player List'!Z$2:Z$1737),0)</f>
        <v>0</v>
      </c>
      <c r="O19" s="1">
        <f>IFERROR(AVERAGEIF('Full Player List'!$C$2:$C$1737, $C19, 'Full Player List'!AA$2:AA$1737),0)</f>
        <v>0</v>
      </c>
      <c r="P19" s="1">
        <f>IFERROR(AVERAGEIF('Full Player List'!$C$2:$C$1737, $C19, 'Full Player List'!AB$2:AB$1737),0)</f>
        <v>0</v>
      </c>
      <c r="Q19" s="1">
        <f>IFERROR(AVERAGEIF('Full Player List'!$C$2:$C$1737, $C19, 'Full Player List'!AC$2:AC$1737),0)</f>
        <v>0</v>
      </c>
      <c r="R19" s="1">
        <f>IFERROR(AVERAGEIF('Full Player List'!$C$2:$C$1737, $C19, 'Full Player List'!AD$2:AD$1737),0)</f>
        <v>0</v>
      </c>
      <c r="S19" s="1">
        <f>IFERROR(AVERAGEIF('Full Player List'!$C$2:$C$1737, $C19, 'Full Player List'!AE$2:AE$1737),0)</f>
        <v>0</v>
      </c>
      <c r="T19" s="1">
        <f>IFERROR(AVERAGEIF('Full Player List'!$C$2:$C$1737, $C19, 'Full Player List'!AF$2:AF$1737),0)</f>
        <v>0</v>
      </c>
      <c r="U19" s="1">
        <f>IFERROR(AVERAGEIF('Full Player List'!$C$2:$C$1737, $C19, 'Full Player List'!AG$2:AG$1737),0)</f>
        <v>0</v>
      </c>
      <c r="V19" s="1">
        <f>IFERROR(AVERAGEIF('Full Player List'!$C$2:$C$1737, $C19, 'Full Player List'!AH$2:AH$1737),0)</f>
        <v>0</v>
      </c>
      <c r="W19" s="1">
        <f>IFERROR(AVERAGEIF('Full Player List'!$C$2:$C$1737, $C19, 'Full Player List'!AI$2:AI$1737),0)</f>
        <v>0</v>
      </c>
      <c r="X19" s="1">
        <f>IFERROR(AVERAGEIF('Full Player List'!$C$2:$C$1737, $C19, 'Full Player List'!AJ$2:AJ$1737),0)</f>
        <v>0</v>
      </c>
      <c r="Y19" s="1">
        <f>IFERROR(AVERAGEIF('Full Player List'!$C$2:$C$1737, $C19, 'Full Player List'!AK$2:AK$1737),0)</f>
        <v>0</v>
      </c>
      <c r="Z19" s="1">
        <f>IFERROR(AVERAGEIF('Full Player List'!$C$2:$C$1737, $C19, 'Full Player List'!AL$2:AL$1737),0)</f>
        <v>0</v>
      </c>
      <c r="AA19" s="1">
        <f>IFERROR(AVERAGEIF('Full Player List'!$C$2:$C$1737, $C19, 'Full Player List'!AM$2:AM$1737),0)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Full Player List</vt:lpstr>
      <vt:lpstr>RB</vt:lpstr>
      <vt:lpstr>WR</vt:lpstr>
      <vt:lpstr>TE</vt:lpstr>
      <vt:lpstr>OL</vt:lpstr>
      <vt:lpstr>DT</vt:lpstr>
      <vt:lpstr>DE</vt:lpstr>
      <vt:lpstr>IB</vt:lpstr>
      <vt:lpstr>OB</vt:lpstr>
      <vt:lpstr>DC</vt:lpstr>
      <vt:lpstr>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prabakaran</dc:creator>
  <cp:lastModifiedBy>adithya prabakaran</cp:lastModifiedBy>
  <dcterms:created xsi:type="dcterms:W3CDTF">2025-12-23T02:51:41Z</dcterms:created>
  <dcterms:modified xsi:type="dcterms:W3CDTF">2025-12-30T17:30:20Z</dcterms:modified>
</cp:coreProperties>
</file>